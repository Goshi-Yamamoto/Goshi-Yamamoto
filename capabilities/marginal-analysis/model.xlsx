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goshi\Downloads\"/>
    </mc:Choice>
  </mc:AlternateContent>
  <xr:revisionPtr revIDLastSave="0" documentId="13_ncr:1_{E9279443-4288-464F-BCA7-2664FCF2BC21}" xr6:coauthVersionLast="47" xr6:coauthVersionMax="47" xr10:uidLastSave="{00000000-0000-0000-0000-000000000000}"/>
  <bookViews>
    <workbookView xWindow="-96" yWindow="0" windowWidth="11712" windowHeight="12336" firstSheet="1" activeTab="1" xr2:uid="{00000000-000D-0000-FFFF-FFFF00000000}"/>
  </bookViews>
  <sheets>
    <sheet name="Summary &amp; PNL" sheetId="1" r:id="rId1"/>
    <sheet name="Marginal Cost Schedules" sheetId="2" r:id="rId2"/>
    <sheet name="Checks &amp; Audit" sheetId="3" r:id="rId3"/>
  </sheets>
  <definedNames>
    <definedName name="BEDS_CARROT">'Summary &amp; PNL'!$C$33</definedName>
    <definedName name="BEDS_MESCLUN">'Summary &amp; PNL'!$C$34</definedName>
    <definedName name="BEDS_TOMATO">'Summary &amp; PNL'!$C$32</definedName>
    <definedName name="BLENDED_LABOR_RATE">'Summary &amp; PNL'!$C$48</definedName>
    <definedName name="CAR_BASE_HRS">'Summary &amp; PNL'!$C$13</definedName>
    <definedName name="CAR_DIM_PCT">'Summary &amp; PNL'!$C$14</definedName>
    <definedName name="CAR_FERT">'Summary &amp; PNL'!$C$12</definedName>
    <definedName name="CAR_MAX_BEDS">'Summary &amp; PNL'!$C$15</definedName>
    <definedName name="CAR_PRICE">'Summary &amp; PNL'!$C$11</definedName>
    <definedName name="FARM_MAX_BEDS">'Summary &amp; PNL'!$C$22</definedName>
    <definedName name="FIXED_OVERHEAD">'Summary &amp; PNL'!$C$28</definedName>
    <definedName name="FIXED_OVERHEAD_EXP">'Summary &amp; PNL'!$C$51</definedName>
    <definedName name="LABOR_HRS_CARROT">'Summary &amp; PNL'!$C$40</definedName>
    <definedName name="LABOR_HRS_MESCLUN">'Summary &amp; PNL'!$C$41</definedName>
    <definedName name="LABOR_HRS_TOMATO">'Summary &amp; PNL'!$C$39</definedName>
    <definedName name="MES_BASE_HRS">'Summary &amp; PNL'!$C$18</definedName>
    <definedName name="MES_DIM_PCT">'Summary &amp; PNL'!$C$19</definedName>
    <definedName name="MES_FERT">'Summary &amp; PNL'!$C$17</definedName>
    <definedName name="MES_MAX_BEDS">'Summary &amp; PNL'!$C$20</definedName>
    <definedName name="MES_PRICE">'Summary &amp; PNL'!$C$16</definedName>
    <definedName name="OWNER_HRS_CAP">'Summary &amp; PNL'!$C$23</definedName>
    <definedName name="OWNER_HRS_USED">'Summary &amp; PNL'!$C$43</definedName>
    <definedName name="OWNER_LABOR_COST">'Summary &amp; PNL'!$C$45</definedName>
    <definedName name="OWNER_RATE">'Summary &amp; PNL'!$C$24</definedName>
    <definedName name="SEASON_PROFIT">'Summary &amp; PNL'!$C$52</definedName>
    <definedName name="solver_adj" localSheetId="0" hidden="1">'Summary &amp; PNL'!$C$32:$C$34</definedName>
    <definedName name="solver_cvg" localSheetId="0" hidden="1">0.0001</definedName>
    <definedName name="solver_drv" localSheetId="0" hidden="1">2</definedName>
    <definedName name="solver_eng" localSheetId="0" hidden="1">1</definedName>
    <definedName name="solver_est" localSheetId="0" hidden="1">1</definedName>
    <definedName name="solver_itr" localSheetId="0" hidden="1">2147483647</definedName>
    <definedName name="solver_lhs1" localSheetId="0" hidden="1">'Summary &amp; PNL'!$C$32:$C$34</definedName>
    <definedName name="solver_lhs2" localSheetId="0" hidden="1">'Summary &amp; PNL'!$C$33</definedName>
    <definedName name="solver_lhs3" localSheetId="0" hidden="1">'Summary &amp; PNL'!$C$34</definedName>
    <definedName name="solver_lhs4" localSheetId="0" hidden="1">'Summary &amp; PNL'!$C$32</definedName>
    <definedName name="solver_lhs5" localSheetId="0" hidden="1">'Summary &amp; PNL'!$C$42</definedName>
    <definedName name="solver_lhs6" localSheetId="0" hidden="1">'Summary &amp; PNL'!$C$35</definedName>
    <definedName name="solver_lhs7" localSheetId="0" hidden="1">'Summary &amp; PNL'!$C$42</definedName>
    <definedName name="solver_lhs8" localSheetId="0" hidden="1">'Summary &amp; PNL'!$C$42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8</definedName>
    <definedName name="solver_nwt" localSheetId="0" hidden="1">1</definedName>
    <definedName name="solver_opt" localSheetId="0" hidden="1">'Summary &amp; PNL'!$C$52</definedName>
    <definedName name="solver_pre" localSheetId="0" hidden="1">0.000001</definedName>
    <definedName name="solver_rbv" localSheetId="0" hidden="1">2</definedName>
    <definedName name="solver_rel1" localSheetId="0" hidden="1">4</definedName>
    <definedName name="solver_rel2" localSheetId="0" hidden="1">1</definedName>
    <definedName name="solver_rel3" localSheetId="0" hidden="1">1</definedName>
    <definedName name="solver_rel4" localSheetId="0" hidden="1">1</definedName>
    <definedName name="solver_rel5" localSheetId="0" hidden="1">1</definedName>
    <definedName name="solver_rel6" localSheetId="0" hidden="1">1</definedName>
    <definedName name="solver_rel7" localSheetId="0" hidden="1">1</definedName>
    <definedName name="solver_rel8" localSheetId="0" hidden="1">1</definedName>
    <definedName name="solver_rhs1" localSheetId="0" hidden="1">"整数"</definedName>
    <definedName name="solver_rhs2" localSheetId="0" hidden="1">CAR_MAX_BEDS</definedName>
    <definedName name="solver_rhs3" localSheetId="0" hidden="1">MES_MAX_BEDS</definedName>
    <definedName name="solver_rhs4" localSheetId="0" hidden="1">TOM_MAX_BEDS</definedName>
    <definedName name="solver_rhs5" localSheetId="0" hidden="1">6480</definedName>
    <definedName name="solver_rhs6" localSheetId="0" hidden="1">FARM_MAX_BEDS</definedName>
    <definedName name="solver_rhs7" localSheetId="0" hidden="1">TOTAL_LABOR_HRS</definedName>
    <definedName name="solver_rhs8" localSheetId="0" hidden="1">TOTAL_LABOR_CAP</definedName>
    <definedName name="solver_rlx" localSheetId="0" hidden="1">2</definedName>
    <definedName name="solver_rsd" localSheetId="0" hidden="1">0</definedName>
    <definedName name="solver_scl" localSheetId="0" hidden="1">2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1</definedName>
    <definedName name="solver_val" localSheetId="0" hidden="1">0</definedName>
    <definedName name="solver_ver" localSheetId="0" hidden="1">3</definedName>
    <definedName name="TEMP_HRS_CAP">'Summary &amp; PNL'!$C$25</definedName>
    <definedName name="TEMP_HRS_USED">'Summary &amp; PNL'!$C$44</definedName>
    <definedName name="TEMP_LABOR_COST">'Summary &amp; PNL'!$C$46</definedName>
    <definedName name="TEMP_RATE">'Summary &amp; PNL'!$C$26</definedName>
    <definedName name="TOM_BASE_HRS">'Summary &amp; PNL'!$C$8</definedName>
    <definedName name="TOM_DIM_PCT">'Summary &amp; PNL'!$C$9</definedName>
    <definedName name="TOM_FERT">'Summary &amp; PNL'!$C$7</definedName>
    <definedName name="TOM_MAX_BEDS">'Summary &amp; PNL'!$C$10</definedName>
    <definedName name="TOM_PRICE">'Summary &amp; PNL'!$C$6</definedName>
    <definedName name="TOTAL_FERTILIZER">'Summary &amp; PNL'!$C$50</definedName>
    <definedName name="TOTAL_LABOR_CAP">'Summary &amp; PNL'!$C$27</definedName>
    <definedName name="TOTAL_LABOR_COST">'Summary &amp; PNL'!$C$47</definedName>
    <definedName name="TOTAL_LABOR_HRS">'Summary &amp; PNL'!$C$42</definedName>
    <definedName name="TOTAL_PLANTED_BEDS">'Summary &amp; PNL'!$C$35</definedName>
    <definedName name="TOTAL_REVENUE">'Summary &amp; PNL'!$C$49</definedName>
    <definedName name="WEEKS">'Summary &amp; PNL'!$C$21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" i="3" l="1"/>
  <c r="D8" i="3"/>
  <c r="D7" i="3"/>
  <c r="D6" i="3"/>
  <c r="G81" i="2"/>
  <c r="E81" i="2"/>
  <c r="C81" i="2"/>
  <c r="B81" i="2"/>
  <c r="G80" i="2"/>
  <c r="E80" i="2"/>
  <c r="B80" i="2"/>
  <c r="C80" i="2" s="1"/>
  <c r="G79" i="2"/>
  <c r="E79" i="2"/>
  <c r="B79" i="2"/>
  <c r="C79" i="2" s="1"/>
  <c r="G78" i="2"/>
  <c r="E78" i="2"/>
  <c r="B78" i="2"/>
  <c r="G77" i="2"/>
  <c r="E77" i="2"/>
  <c r="B77" i="2"/>
  <c r="C78" i="2" s="1"/>
  <c r="G76" i="2"/>
  <c r="E76" i="2"/>
  <c r="B76" i="2"/>
  <c r="C76" i="2" s="1"/>
  <c r="G75" i="2"/>
  <c r="E75" i="2"/>
  <c r="B75" i="2"/>
  <c r="C75" i="2" s="1"/>
  <c r="G74" i="2"/>
  <c r="E74" i="2"/>
  <c r="B74" i="2"/>
  <c r="G73" i="2"/>
  <c r="E73" i="2"/>
  <c r="B73" i="2"/>
  <c r="C74" i="2" s="1"/>
  <c r="G72" i="2"/>
  <c r="E72" i="2"/>
  <c r="B72" i="2"/>
  <c r="C72" i="2" s="1"/>
  <c r="G71" i="2"/>
  <c r="E71" i="2"/>
  <c r="B71" i="2"/>
  <c r="C71" i="2" s="1"/>
  <c r="G70" i="2"/>
  <c r="E70" i="2"/>
  <c r="B70" i="2"/>
  <c r="C70" i="2" s="1"/>
  <c r="G69" i="2"/>
  <c r="E69" i="2"/>
  <c r="B69" i="2"/>
  <c r="C69" i="2" s="1"/>
  <c r="G68" i="2"/>
  <c r="E68" i="2"/>
  <c r="B68" i="2"/>
  <c r="C68" i="2" s="1"/>
  <c r="G67" i="2"/>
  <c r="E67" i="2"/>
  <c r="B67" i="2"/>
  <c r="C67" i="2" s="1"/>
  <c r="G66" i="2"/>
  <c r="E66" i="2"/>
  <c r="B66" i="2"/>
  <c r="C66" i="2" s="1"/>
  <c r="G65" i="2"/>
  <c r="E65" i="2"/>
  <c r="C65" i="2"/>
  <c r="B65" i="2"/>
  <c r="G64" i="2"/>
  <c r="E64" i="2"/>
  <c r="B64" i="2"/>
  <c r="C64" i="2" s="1"/>
  <c r="G63" i="2"/>
  <c r="E63" i="2"/>
  <c r="B63" i="2"/>
  <c r="C63" i="2" s="1"/>
  <c r="G62" i="2"/>
  <c r="E62" i="2"/>
  <c r="B62" i="2"/>
  <c r="G61" i="2"/>
  <c r="E61" i="2"/>
  <c r="B61" i="2"/>
  <c r="C62" i="2" s="1"/>
  <c r="G60" i="2"/>
  <c r="E60" i="2"/>
  <c r="B60" i="2"/>
  <c r="C60" i="2" s="1"/>
  <c r="G59" i="2"/>
  <c r="E59" i="2"/>
  <c r="B59" i="2"/>
  <c r="C59" i="2" s="1"/>
  <c r="G58" i="2"/>
  <c r="E58" i="2"/>
  <c r="B58" i="2"/>
  <c r="G57" i="2"/>
  <c r="E57" i="2"/>
  <c r="B57" i="2"/>
  <c r="C58" i="2" s="1"/>
  <c r="G56" i="2"/>
  <c r="E56" i="2"/>
  <c r="B56" i="2"/>
  <c r="C56" i="2" s="1"/>
  <c r="G55" i="2"/>
  <c r="E55" i="2"/>
  <c r="B55" i="2"/>
  <c r="C55" i="2" s="1"/>
  <c r="G54" i="2"/>
  <c r="E54" i="2"/>
  <c r="B54" i="2"/>
  <c r="C54" i="2" s="1"/>
  <c r="G53" i="2"/>
  <c r="E53" i="2"/>
  <c r="B53" i="2"/>
  <c r="C53" i="2" s="1"/>
  <c r="G52" i="2"/>
  <c r="E52" i="2"/>
  <c r="B52" i="2"/>
  <c r="C52" i="2" s="1"/>
  <c r="G48" i="2"/>
  <c r="E48" i="2"/>
  <c r="B48" i="2"/>
  <c r="C48" i="2" s="1"/>
  <c r="G47" i="2"/>
  <c r="E47" i="2"/>
  <c r="B47" i="2"/>
  <c r="C47" i="2" s="1"/>
  <c r="G46" i="2"/>
  <c r="E46" i="2"/>
  <c r="C46" i="2"/>
  <c r="B46" i="2"/>
  <c r="G45" i="2"/>
  <c r="E45" i="2"/>
  <c r="B45" i="2"/>
  <c r="C45" i="2" s="1"/>
  <c r="G44" i="2"/>
  <c r="E44" i="2"/>
  <c r="B44" i="2"/>
  <c r="C44" i="2" s="1"/>
  <c r="G43" i="2"/>
  <c r="E43" i="2"/>
  <c r="B43" i="2"/>
  <c r="G42" i="2"/>
  <c r="E42" i="2"/>
  <c r="B42" i="2"/>
  <c r="C42" i="2" s="1"/>
  <c r="G41" i="2"/>
  <c r="E41" i="2"/>
  <c r="B41" i="2"/>
  <c r="C41" i="2" s="1"/>
  <c r="G40" i="2"/>
  <c r="E40" i="2"/>
  <c r="B40" i="2"/>
  <c r="C40" i="2" s="1"/>
  <c r="G39" i="2"/>
  <c r="E39" i="2"/>
  <c r="B39" i="2"/>
  <c r="G38" i="2"/>
  <c r="E38" i="2"/>
  <c r="B38" i="2"/>
  <c r="C39" i="2" s="1"/>
  <c r="G37" i="2"/>
  <c r="E37" i="2"/>
  <c r="B37" i="2"/>
  <c r="C37" i="2" s="1"/>
  <c r="G36" i="2"/>
  <c r="E36" i="2"/>
  <c r="B36" i="2"/>
  <c r="C36" i="2" s="1"/>
  <c r="G35" i="2"/>
  <c r="E35" i="2"/>
  <c r="B35" i="2"/>
  <c r="C35" i="2" s="1"/>
  <c r="G34" i="2"/>
  <c r="E34" i="2"/>
  <c r="B34" i="2"/>
  <c r="C34" i="2" s="1"/>
  <c r="G33" i="2"/>
  <c r="E33" i="2"/>
  <c r="B33" i="2"/>
  <c r="C33" i="2" s="1"/>
  <c r="G32" i="2"/>
  <c r="E32" i="2"/>
  <c r="B32" i="2"/>
  <c r="C32" i="2" s="1"/>
  <c r="G31" i="2"/>
  <c r="E31" i="2"/>
  <c r="B31" i="2"/>
  <c r="C31" i="2" s="1"/>
  <c r="G30" i="2"/>
  <c r="E30" i="2"/>
  <c r="C30" i="2"/>
  <c r="B30" i="2"/>
  <c r="G29" i="2"/>
  <c r="E29" i="2"/>
  <c r="B29" i="2"/>
  <c r="C29" i="2" s="1"/>
  <c r="G25" i="2"/>
  <c r="E25" i="2"/>
  <c r="B25" i="2"/>
  <c r="C25" i="2" s="1"/>
  <c r="G24" i="2"/>
  <c r="E24" i="2"/>
  <c r="B24" i="2"/>
  <c r="G23" i="2"/>
  <c r="E23" i="2"/>
  <c r="B23" i="2"/>
  <c r="C24" i="2" s="1"/>
  <c r="G22" i="2"/>
  <c r="E22" i="2"/>
  <c r="B22" i="2"/>
  <c r="C22" i="2" s="1"/>
  <c r="G21" i="2"/>
  <c r="E21" i="2"/>
  <c r="B21" i="2"/>
  <c r="C21" i="2" s="1"/>
  <c r="G20" i="2"/>
  <c r="E20" i="2"/>
  <c r="B20" i="2"/>
  <c r="G19" i="2"/>
  <c r="E19" i="2"/>
  <c r="B19" i="2"/>
  <c r="C20" i="2" s="1"/>
  <c r="G18" i="2"/>
  <c r="E18" i="2"/>
  <c r="B18" i="2"/>
  <c r="C18" i="2" s="1"/>
  <c r="G17" i="2"/>
  <c r="E17" i="2"/>
  <c r="B17" i="2"/>
  <c r="C17" i="2" s="1"/>
  <c r="G16" i="2"/>
  <c r="E16" i="2"/>
  <c r="B16" i="2"/>
  <c r="C16" i="2" s="1"/>
  <c r="G15" i="2"/>
  <c r="E15" i="2"/>
  <c r="B15" i="2"/>
  <c r="C15" i="2" s="1"/>
  <c r="G14" i="2"/>
  <c r="E14" i="2"/>
  <c r="B14" i="2"/>
  <c r="C14" i="2" s="1"/>
  <c r="G13" i="2"/>
  <c r="E13" i="2"/>
  <c r="B13" i="2"/>
  <c r="C13" i="2" s="1"/>
  <c r="G12" i="2"/>
  <c r="E12" i="2"/>
  <c r="B12" i="2"/>
  <c r="C12" i="2" s="1"/>
  <c r="G11" i="2"/>
  <c r="E11" i="2"/>
  <c r="C11" i="2"/>
  <c r="B11" i="2"/>
  <c r="G10" i="2"/>
  <c r="E10" i="2"/>
  <c r="B10" i="2"/>
  <c r="C10" i="2" s="1"/>
  <c r="G9" i="2"/>
  <c r="E9" i="2"/>
  <c r="B9" i="2"/>
  <c r="C9" i="2" s="1"/>
  <c r="G8" i="2"/>
  <c r="E8" i="2"/>
  <c r="B8" i="2"/>
  <c r="G7" i="2"/>
  <c r="E7" i="2"/>
  <c r="B7" i="2"/>
  <c r="C7" i="2" s="1"/>
  <c r="G6" i="2"/>
  <c r="E6" i="2"/>
  <c r="B6" i="2"/>
  <c r="C6" i="2" s="1"/>
  <c r="D61" i="1"/>
  <c r="D60" i="1"/>
  <c r="D59" i="1"/>
  <c r="B59" i="1"/>
  <c r="F59" i="1" s="1"/>
  <c r="D58" i="1"/>
  <c r="B58" i="1"/>
  <c r="F58" i="1" s="1"/>
  <c r="D57" i="1"/>
  <c r="B57" i="1"/>
  <c r="F57" i="1" s="1"/>
  <c r="C51" i="1"/>
  <c r="C50" i="1"/>
  <c r="D13" i="3" s="1"/>
  <c r="C49" i="1"/>
  <c r="D12" i="3" s="1"/>
  <c r="C41" i="1"/>
  <c r="C40" i="1"/>
  <c r="C39" i="1"/>
  <c r="D35" i="1"/>
  <c r="C35" i="1"/>
  <c r="D10" i="3" s="1"/>
  <c r="D34" i="1"/>
  <c r="E34" i="1" s="1"/>
  <c r="D33" i="1"/>
  <c r="E33" i="1" s="1"/>
  <c r="D32" i="1"/>
  <c r="F32" i="1" s="1"/>
  <c r="E58" i="1" l="1"/>
  <c r="C42" i="1"/>
  <c r="D11" i="3" s="1"/>
  <c r="E59" i="1"/>
  <c r="E57" i="1"/>
  <c r="B60" i="1"/>
  <c r="F60" i="1" s="1"/>
  <c r="F33" i="1"/>
  <c r="E35" i="1"/>
  <c r="C38" i="2"/>
  <c r="C73" i="2"/>
  <c r="F35" i="1"/>
  <c r="C77" i="2"/>
  <c r="F34" i="1"/>
  <c r="C19" i="2"/>
  <c r="C57" i="2"/>
  <c r="C23" i="2"/>
  <c r="C61" i="2"/>
  <c r="C8" i="2"/>
  <c r="C43" i="2"/>
  <c r="E32" i="1"/>
  <c r="C43" i="1" l="1"/>
  <c r="C45" i="1" s="1"/>
  <c r="C44" i="1"/>
  <c r="C46" i="1" s="1"/>
  <c r="B61" i="1"/>
  <c r="F61" i="1" s="1"/>
  <c r="E60" i="1"/>
  <c r="C47" i="1" l="1"/>
  <c r="C48" i="1" s="1"/>
  <c r="E61" i="1"/>
  <c r="C52" i="1" l="1"/>
  <c r="D15" i="3" s="1"/>
  <c r="D14" i="3"/>
  <c r="D44" i="2"/>
  <c r="F44" i="2" s="1"/>
  <c r="H44" i="2" s="1"/>
  <c r="D14" i="2"/>
  <c r="F14" i="2" s="1"/>
  <c r="H14" i="2" s="1"/>
  <c r="D34" i="2"/>
  <c r="F34" i="2" s="1"/>
  <c r="H34" i="2" s="1"/>
  <c r="D53" i="2"/>
  <c r="F53" i="2" s="1"/>
  <c r="H53" i="2" s="1"/>
  <c r="D21" i="2"/>
  <c r="F21" i="2" s="1"/>
  <c r="H21" i="2" s="1"/>
  <c r="D67" i="2"/>
  <c r="F67" i="2" s="1"/>
  <c r="H67" i="2" s="1"/>
  <c r="D72" i="2"/>
  <c r="F72" i="2" s="1"/>
  <c r="H72" i="2" s="1"/>
  <c r="D36" i="2"/>
  <c r="F36" i="2" s="1"/>
  <c r="H36" i="2" s="1"/>
  <c r="D16" i="2"/>
  <c r="F16" i="2" s="1"/>
  <c r="H16" i="2" s="1"/>
  <c r="D37" i="2"/>
  <c r="F37" i="2" s="1"/>
  <c r="H37" i="2" s="1"/>
  <c r="D31" i="2"/>
  <c r="F31" i="2" s="1"/>
  <c r="H31" i="2" s="1"/>
  <c r="D58" i="2"/>
  <c r="F58" i="2" s="1"/>
  <c r="H58" i="2" s="1"/>
  <c r="D71" i="2"/>
  <c r="F71" i="2" s="1"/>
  <c r="H71" i="2" s="1"/>
  <c r="D17" i="2"/>
  <c r="F17" i="2" s="1"/>
  <c r="H17" i="2" s="1"/>
  <c r="D13" i="2"/>
  <c r="F13" i="2" s="1"/>
  <c r="H13" i="2" s="1"/>
  <c r="D78" i="2"/>
  <c r="F78" i="2" s="1"/>
  <c r="H78" i="2" s="1"/>
  <c r="D6" i="2"/>
  <c r="F6" i="2" s="1"/>
  <c r="H6" i="2" s="1"/>
  <c r="D54" i="2"/>
  <c r="F54" i="2" s="1"/>
  <c r="H54" i="2" s="1"/>
  <c r="D63" i="2"/>
  <c r="F63" i="2" s="1"/>
  <c r="H63" i="2" s="1"/>
  <c r="D7" i="2"/>
  <c r="F7" i="2" s="1"/>
  <c r="H7" i="2" s="1"/>
  <c r="D52" i="2"/>
  <c r="F52" i="2" s="1"/>
  <c r="H52" i="2" s="1"/>
  <c r="D48" i="2"/>
  <c r="F48" i="2" s="1"/>
  <c r="H48" i="2" s="1"/>
  <c r="D12" i="2"/>
  <c r="F12" i="2" s="1"/>
  <c r="H12" i="2" s="1"/>
  <c r="D39" i="2"/>
  <c r="F39" i="2" s="1"/>
  <c r="H39" i="2" s="1"/>
  <c r="D79" i="2"/>
  <c r="F79" i="2" s="1"/>
  <c r="H79" i="2" s="1"/>
  <c r="D42" i="2"/>
  <c r="F42" i="2" s="1"/>
  <c r="H42" i="2" s="1"/>
  <c r="D65" i="2"/>
  <c r="F65" i="2" s="1"/>
  <c r="H65" i="2" s="1"/>
  <c r="D10" i="2"/>
  <c r="F10" i="2" s="1"/>
  <c r="H10" i="2" s="1"/>
  <c r="D20" i="2"/>
  <c r="F20" i="2" s="1"/>
  <c r="H20" i="2" s="1"/>
  <c r="D30" i="2"/>
  <c r="F30" i="2" s="1"/>
  <c r="H30" i="2" s="1"/>
  <c r="D47" i="2"/>
  <c r="F47" i="2" s="1"/>
  <c r="H47" i="2" s="1"/>
  <c r="D76" i="2"/>
  <c r="F76" i="2" s="1"/>
  <c r="H76" i="2" s="1"/>
  <c r="D81" i="2"/>
  <c r="F81" i="2" s="1"/>
  <c r="H81" i="2" s="1"/>
  <c r="D40" i="2"/>
  <c r="F40" i="2" s="1"/>
  <c r="H40" i="2" s="1"/>
  <c r="D64" i="2"/>
  <c r="F64" i="2" s="1"/>
  <c r="H64" i="2" s="1"/>
  <c r="D74" i="2"/>
  <c r="F74" i="2" s="1"/>
  <c r="H74" i="2" s="1"/>
  <c r="D62" i="2"/>
  <c r="F62" i="2" s="1"/>
  <c r="H62" i="2" s="1"/>
  <c r="D25" i="2"/>
  <c r="F25" i="2" s="1"/>
  <c r="H25" i="2" s="1"/>
  <c r="D60" i="2"/>
  <c r="F60" i="2" s="1"/>
  <c r="H60" i="2" s="1"/>
  <c r="D15" i="2"/>
  <c r="F15" i="2" s="1"/>
  <c r="H15" i="2" s="1"/>
  <c r="D33" i="2"/>
  <c r="F33" i="2" s="1"/>
  <c r="H33" i="2" s="1"/>
  <c r="D29" i="2"/>
  <c r="F29" i="2" s="1"/>
  <c r="H29" i="2" s="1"/>
  <c r="D45" i="2"/>
  <c r="F45" i="2" s="1"/>
  <c r="H45" i="2" s="1"/>
  <c r="D56" i="2"/>
  <c r="F56" i="2" s="1"/>
  <c r="H56" i="2" s="1"/>
  <c r="D69" i="2"/>
  <c r="F69" i="2" s="1"/>
  <c r="H69" i="2" s="1"/>
  <c r="D35" i="2"/>
  <c r="F35" i="2" s="1"/>
  <c r="H35" i="2" s="1"/>
  <c r="D59" i="2"/>
  <c r="F59" i="2" s="1"/>
  <c r="H59" i="2" s="1"/>
  <c r="D24" i="2"/>
  <c r="F24" i="2" s="1"/>
  <c r="H24" i="2" s="1"/>
  <c r="D11" i="2"/>
  <c r="F11" i="2" s="1"/>
  <c r="H11" i="2" s="1"/>
  <c r="D80" i="2"/>
  <c r="F80" i="2" s="1"/>
  <c r="H80" i="2" s="1"/>
  <c r="D68" i="2"/>
  <c r="F68" i="2" s="1"/>
  <c r="H68" i="2" s="1"/>
  <c r="D22" i="2"/>
  <c r="F22" i="2" s="1"/>
  <c r="H22" i="2" s="1"/>
  <c r="D32" i="2"/>
  <c r="F32" i="2" s="1"/>
  <c r="H32" i="2" s="1"/>
  <c r="D75" i="2"/>
  <c r="F75" i="2" s="1"/>
  <c r="H75" i="2" s="1"/>
  <c r="D18" i="2"/>
  <c r="F18" i="2" s="1"/>
  <c r="H18" i="2" s="1"/>
  <c r="D55" i="2"/>
  <c r="F55" i="2" s="1"/>
  <c r="H55" i="2" s="1"/>
  <c r="D41" i="2"/>
  <c r="F41" i="2" s="1"/>
  <c r="H41" i="2" s="1"/>
  <c r="D46" i="2"/>
  <c r="F46" i="2" s="1"/>
  <c r="H46" i="2" s="1"/>
  <c r="D66" i="2"/>
  <c r="F66" i="2" s="1"/>
  <c r="H66" i="2" s="1"/>
  <c r="D70" i="2"/>
  <c r="F70" i="2" s="1"/>
  <c r="H70" i="2" s="1"/>
  <c r="D9" i="2"/>
  <c r="F9" i="2" s="1"/>
  <c r="H9" i="2" s="1"/>
  <c r="D73" i="2"/>
  <c r="F73" i="2" s="1"/>
  <c r="H73" i="2" s="1"/>
  <c r="D43" i="2"/>
  <c r="F43" i="2" s="1"/>
  <c r="H43" i="2" s="1"/>
  <c r="D8" i="2"/>
  <c r="F8" i="2" s="1"/>
  <c r="H8" i="2" s="1"/>
  <c r="D61" i="2"/>
  <c r="F61" i="2" s="1"/>
  <c r="H61" i="2" s="1"/>
  <c r="D19" i="2"/>
  <c r="F19" i="2" s="1"/>
  <c r="H19" i="2" s="1"/>
  <c r="D77" i="2"/>
  <c r="F77" i="2" s="1"/>
  <c r="H77" i="2" s="1"/>
  <c r="D38" i="2"/>
  <c r="F38" i="2" s="1"/>
  <c r="H38" i="2" s="1"/>
  <c r="D23" i="2"/>
  <c r="F23" i="2" s="1"/>
  <c r="H23" i="2" s="1"/>
  <c r="D57" i="2"/>
  <c r="F57" i="2" s="1"/>
  <c r="H57" i="2" s="1"/>
</calcChain>
</file>

<file path=xl/sharedStrings.xml><?xml version="1.0" encoding="utf-8"?>
<sst xmlns="http://schemas.openxmlformats.org/spreadsheetml/2006/main" count="272" uniqueCount="184">
  <si>
    <t>Stage 2 Marginal Analysis &amp; Optimization Model</t>
  </si>
  <si>
    <t>Farm Profit Maximization under Land &amp; Labor Constraints | Model Version 1.0</t>
  </si>
  <si>
    <t>1. INPUT ASSUMPTIONS (THE NAMED CONTRACT)</t>
  </si>
  <si>
    <t>Crop / Category</t>
  </si>
  <si>
    <t>Variable Name</t>
  </si>
  <si>
    <t>Value</t>
  </si>
  <si>
    <t>Unit</t>
  </si>
  <si>
    <t>Description / Logic</t>
  </si>
  <si>
    <t>Tomato</t>
  </si>
  <si>
    <t>TOM_PRICE</t>
  </si>
  <si>
    <t>USD / bed</t>
  </si>
  <si>
    <t>Revenue generated per bed of tomatoes</t>
  </si>
  <si>
    <t>TOM_FERT</t>
  </si>
  <si>
    <t>Fertilizer cost per bed of tomatoes</t>
  </si>
  <si>
    <t>TOM_BASE_HRS</t>
  </si>
  <si>
    <t>hrs / wk / bed</t>
  </si>
  <si>
    <t>Base labor required per bed per week</t>
  </si>
  <si>
    <t>TOM_DIM_PCT</t>
  </si>
  <si>
    <t>% penalty</t>
  </si>
  <si>
    <t>Diminishing returns labor penalty rate</t>
  </si>
  <si>
    <t>TOM_MAX_BEDS</t>
  </si>
  <si>
    <t>beds</t>
  </si>
  <si>
    <t>Maximum bed capacity for tomatoes</t>
  </si>
  <si>
    <t>Carrot</t>
  </si>
  <si>
    <t>CAR_PRICE</t>
  </si>
  <si>
    <t>Revenue generated per bed of carrots</t>
  </si>
  <si>
    <t>CAR_FERT</t>
  </si>
  <si>
    <t>Fertilizer cost per bed of carrots</t>
  </si>
  <si>
    <t>CAR_BASE_HRS</t>
  </si>
  <si>
    <t>CAR_DIM_PCT</t>
  </si>
  <si>
    <t>CAR_MAX_BEDS</t>
  </si>
  <si>
    <t>Maximum bed capacity for carrots</t>
  </si>
  <si>
    <t>Mesclun</t>
  </si>
  <si>
    <t>MES_PRICE</t>
  </si>
  <si>
    <t>Revenue generated per bed of mesclun</t>
  </si>
  <si>
    <t>MES_FERT</t>
  </si>
  <si>
    <t>Fertilizer cost per bed of mesclun</t>
  </si>
  <si>
    <t>MES_BASE_HRS</t>
  </si>
  <si>
    <t>MES_DIM_PCT</t>
  </si>
  <si>
    <t>MES_MAX_BEDS</t>
  </si>
  <si>
    <t>Maximum bed capacity for mesclun</t>
  </si>
  <si>
    <t>Farm Operations</t>
  </si>
  <si>
    <t>WEEKS</t>
  </si>
  <si>
    <t>weeks / season</t>
  </si>
  <si>
    <t>Total weeks in growing season</t>
  </si>
  <si>
    <t>FARM_MAX_BEDS</t>
  </si>
  <si>
    <t>Total available land capacity</t>
  </si>
  <si>
    <t>Labor Cap</t>
  </si>
  <si>
    <t>OWNER_HRS_CAP</t>
  </si>
  <si>
    <t>hours</t>
  </si>
  <si>
    <t>Maximum available owner labor hours</t>
  </si>
  <si>
    <t>Labor Rate</t>
  </si>
  <si>
    <t>OWNER_RATE</t>
  </si>
  <si>
    <t>USD / hr</t>
  </si>
  <si>
    <t>Hourly cost rate for owner labor</t>
  </si>
  <si>
    <t>TEMP_HRS_CAP</t>
  </si>
  <si>
    <t>Maximum available temp worker hours</t>
  </si>
  <si>
    <t>TEMP_RATE</t>
  </si>
  <si>
    <t>Hourly cost rate for temp labor</t>
  </si>
  <si>
    <t>TOTAL_LABOR_CAP</t>
  </si>
  <si>
    <t>Total farm seasonal labor hours cap</t>
  </si>
  <si>
    <t>Overhead</t>
  </si>
  <si>
    <t>FIXED_OVERHEAD</t>
  </si>
  <si>
    <t>USD / season</t>
  </si>
  <si>
    <t>Fixed seasonal overhead expenses</t>
  </si>
  <si>
    <t>2. DECISION VARIABLES &amp; BED ALLOCATION</t>
  </si>
  <si>
    <t>Crop</t>
  </si>
  <si>
    <t>Planted Beds</t>
  </si>
  <si>
    <t>Max Beds Cap</t>
  </si>
  <si>
    <t>Utilization</t>
  </si>
  <si>
    <t>Status / Constraint</t>
  </si>
  <si>
    <t>BEDS_TOMATO</t>
  </si>
  <si>
    <t>BEDS_CARROT</t>
  </si>
  <si>
    <t>BEDS_MESCLUN</t>
  </si>
  <si>
    <t>Total Planted Beds</t>
  </si>
  <si>
    <t>TOTAL_PLANTED_BEDS</t>
  </si>
  <si>
    <t>3. COST STRUCTURE &amp; SEASONAL P&amp;L STATEMENT</t>
  </si>
  <si>
    <t>Metric / Line Item</t>
  </si>
  <si>
    <t>Defined Name</t>
  </si>
  <si>
    <t>Value / Output</t>
  </si>
  <si>
    <t>Formula / Specification Logic</t>
  </si>
  <si>
    <t>Tomato Labor Hours</t>
  </si>
  <si>
    <t>LABOR_HRS_TOMATO</t>
  </si>
  <si>
    <t>BEDS_TOMATO * TOM_BASE_HRS * WEEKS * (1+TOM_DIM_PCT)^BEDS_TOMATO</t>
  </si>
  <si>
    <t>Carrot Labor Hours</t>
  </si>
  <si>
    <t>LABOR_HRS_CARROT</t>
  </si>
  <si>
    <t>BEDS_CARROT * CAR_BASE_HRS * WEEKS * (1+CAR_DIM_PCT)^BEDS_CARROT</t>
  </si>
  <si>
    <t>Mesclun Labor Hours</t>
  </si>
  <si>
    <t>LABOR_HRS_MESCLUN</t>
  </si>
  <si>
    <t>BEDS_MESCLUN * MES_BASE_HRS * WEEKS * (1+MES_DIM_PCT)^BEDS_MESCLUN</t>
  </si>
  <si>
    <t>Total Farm Labor Hours</t>
  </si>
  <si>
    <t>TOTAL_LABOR_HRS</t>
  </si>
  <si>
    <t>LABOR_HRS_TOMATO + LABOR_HRS_CARROT + LABOR_HRS_MESCLUN</t>
  </si>
  <si>
    <t>Owner Hours Used</t>
  </si>
  <si>
    <t>OWNER_HRS_USED</t>
  </si>
  <si>
    <t>MIN(TOTAL_LABOR_HRS, OWNER_HRS_CAP)</t>
  </si>
  <si>
    <t>Temp Labor Hours Used</t>
  </si>
  <si>
    <t>TEMP_HRS_USED</t>
  </si>
  <si>
    <t>MAX(0, TOTAL_LABOR_HRS - OWNER_HRS_CAP)</t>
  </si>
  <si>
    <t>Owner Labor Cost</t>
  </si>
  <si>
    <t>OWNER_LABOR_COST</t>
  </si>
  <si>
    <t>USD</t>
  </si>
  <si>
    <t>OWNER_HRS_USED * OWNER_RATE</t>
  </si>
  <si>
    <t>Temp Labor Cost</t>
  </si>
  <si>
    <t>TEMP_LABOR_COST</t>
  </si>
  <si>
    <t>TEMP_HRS_USED * TEMP_RATE</t>
  </si>
  <si>
    <t>Total Labor Cost</t>
  </si>
  <si>
    <t>TOTAL_LABOR_COST</t>
  </si>
  <si>
    <t>(OWNER_HRS_USED * OWNER_RATE) + (TEMP_HRS_USED * TEMP_RATE)</t>
  </si>
  <si>
    <t>Blended Labor Rate</t>
  </si>
  <si>
    <t>BLENDED_LABOR_RATE</t>
  </si>
  <si>
    <t>TOTAL_LABOR_COST / TOTAL_LABOR_HRS</t>
  </si>
  <si>
    <t>Total Revenue</t>
  </si>
  <si>
    <t>TOTAL_REVENUE</t>
  </si>
  <si>
    <t>(BEDS_TOMATO * TOM_PRICE) + (BEDS_CARROT * CAR_PRICE) + (BEDS_MESCLUN * MES_PRICE)</t>
  </si>
  <si>
    <t>Total Fertilizer Expense</t>
  </si>
  <si>
    <t>TOTAL_FERTILIZER</t>
  </si>
  <si>
    <t>(BEDS_TOMATO * TOM_FERT) + (BEDS_CARROT * CAR_FERT) + (BEDS_MESCLUN * MES_FERT)</t>
  </si>
  <si>
    <t>Fixed Seasonal Overhead</t>
  </si>
  <si>
    <t>FIXED_OVERHEAD_EXP</t>
  </si>
  <si>
    <t>FIXED_OVERHEAD ($20,000)</t>
  </si>
  <si>
    <t>Net Seasonal Profit</t>
  </si>
  <si>
    <t>SEASON_PROFIT</t>
  </si>
  <si>
    <t>TOTAL_REVENUE - TOTAL_FERTILIZER - TOTAL_LABOR_COST - FIXED_OVERHEAD</t>
  </si>
  <si>
    <t>4. OPTIMIZATION CONSTRAINTS &amp; SOLVER AUDIT STATUS</t>
  </si>
  <si>
    <t>Constraint Category</t>
  </si>
  <si>
    <t>Actual Usage</t>
  </si>
  <si>
    <t>Constraint Relation</t>
  </si>
  <si>
    <t>Limit / Cap</t>
  </si>
  <si>
    <t>Slack / Remaining</t>
  </si>
  <si>
    <t>Status</t>
  </si>
  <si>
    <t>Tomato Bed Limit</t>
  </si>
  <si>
    <t>&lt;=</t>
  </si>
  <si>
    <t>Carrot Bed Limit</t>
  </si>
  <si>
    <t>Mesclun Bed Limit</t>
  </si>
  <si>
    <t>Farm Total Land Cap</t>
  </si>
  <si>
    <t>Farm Total Labor Cap</t>
  </si>
  <si>
    <t>Marginal-Cost Schedules &amp; Price Comparisons</t>
  </si>
  <si>
    <t>Incremental Labor, Marginal Labor Cost, Total MC vs Price (P) per Bed</t>
  </si>
  <si>
    <t>Tomato Marginal-Cost Schedule</t>
  </si>
  <si>
    <t>Bed (q)</t>
  </si>
  <si>
    <t>Cumulative Hours</t>
  </si>
  <si>
    <t>Marginal Hours</t>
  </si>
  <si>
    <t>Marginal Labor Cost</t>
  </si>
  <si>
    <t>Fertilizer Cost</t>
  </si>
  <si>
    <t>Total MC (MC)</t>
  </si>
  <si>
    <t>Price (P)</t>
  </si>
  <si>
    <t>Marginal Profit (P - MC)</t>
  </si>
  <si>
    <t>Carrot Marginal-Cost Schedule</t>
  </si>
  <si>
    <t>Mesclun Marginal-Cost Schedule</t>
  </si>
  <si>
    <t>Model Audit &amp; Validation Checklist</t>
  </si>
  <si>
    <t>Verification of Specification Rules, Single-Bed Labor, Initial Mix, and Target Output</t>
  </si>
  <si>
    <t>1. AUDIT CHECKS &amp; VERIFICATION SUMMARY</t>
  </si>
  <si>
    <t>Test #</t>
  </si>
  <si>
    <t>Validation Rule Description</t>
  </si>
  <si>
    <t>Expected Spec Value</t>
  </si>
  <si>
    <t>Actual Model Value</t>
  </si>
  <si>
    <t>Audit Notes</t>
  </si>
  <si>
    <t>Single-Bed Tomato Labor Hours (q=1)</t>
  </si>
  <si>
    <t>99.0 hours</t>
  </si>
  <si>
    <t>OK</t>
  </si>
  <si>
    <t>Formula: 1 * 2.5 * 36 * (1 + 0.10)^1</t>
  </si>
  <si>
    <t>Optimal Tomato Beds (BEDS_TOMATO)</t>
  </si>
  <si>
    <t>10 beds</t>
  </si>
  <si>
    <t>Optimal allocation from Solver</t>
  </si>
  <si>
    <t>Optimal Carrot Beds (BEDS_CARROT)</t>
  </si>
  <si>
    <t>20 beds</t>
  </si>
  <si>
    <t>Optimal Mesclun Beds (BEDS_MESCLUN)</t>
  </si>
  <si>
    <t>30 beds</t>
  </si>
  <si>
    <t>60 beds</t>
  </si>
  <si>
    <t>Within 64 land cap</t>
  </si>
  <si>
    <t>Optimal Seasonal Labor Hours</t>
  </si>
  <si>
    <t>~5,277 hours</t>
  </si>
  <si>
    <t>Within 6,480 labor cap</t>
  </si>
  <si>
    <t>Total Seasonal Revenue</t>
  </si>
  <si>
    <t>$210,880</t>
  </si>
  <si>
    <t>Exact spec target match</t>
  </si>
  <si>
    <t>Total Fertilizer Cost</t>
  </si>
  <si>
    <t>$44,000</t>
  </si>
  <si>
    <t>~$104,118</t>
  </si>
  <si>
    <t>Owner + Temp labor combined</t>
  </si>
  <si>
    <t>Net Seasonal Profit (SEASON_PROFIT)</t>
  </si>
  <si>
    <t>$42,762</t>
  </si>
  <si>
    <t>Target optimal seasonal profit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</si>
</sst>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\$#,##0"/>
    <numFmt numFmtId="177" formatCode="0.000"/>
    <numFmt numFmtId="178" formatCode="0.0%"/>
    <numFmt numFmtId="179" formatCode="0.000%"/>
    <numFmt numFmtId="180" formatCode="\$#,##0.00"/>
    <numFmt numFmtId="181" formatCode="0.0"/>
    <numFmt numFmtId="182" formatCode="#,##0.0"/>
  </numFmts>
  <fonts count="8" x14ac:knownFonts="1">
    <font>
      <sz val="11"/>
      <color theme="1"/>
      <name val="ＭＳ Ｐゴシック"/>
      <family val="2"/>
      <scheme val="minor"/>
    </font>
    <font>
      <b/>
      <sz val="16"/>
      <color rgb="FF1F4E79"/>
      <name val="Calibri"/>
    </font>
    <font>
      <i/>
      <sz val="11"/>
      <color rgb="FF595959"/>
      <name val="Calibri"/>
    </font>
    <font>
      <b/>
      <sz val="12"/>
      <color rgb="FFFFFFFF"/>
      <name val="Calibri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  <font>
      <sz val="6"/>
      <name val="ＭＳ Ｐゴシック"/>
      <family val="3"/>
      <charset val="128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5496"/>
        <bgColor rgb="FF2F5496"/>
      </patternFill>
    </fill>
    <fill>
      <patternFill patternType="solid">
        <fgColor rgb="FFDCE6F1"/>
        <bgColor rgb="FFDCE6F1"/>
      </patternFill>
    </fill>
    <fill>
      <patternFill patternType="solid">
        <fgColor rgb="FFF9FBFD"/>
        <bgColor rgb="FFF9FBFD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medium">
        <color rgb="FF1F4E79"/>
      </top>
      <bottom style="medium">
        <color rgb="FF1F4E7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1F4E79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4" fillId="3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176" fontId="5" fillId="4" borderId="2" xfId="0" applyNumberFormat="1" applyFont="1" applyFill="1" applyBorder="1" applyAlignment="1">
      <alignment horizontal="right" vertical="center"/>
    </xf>
    <xf numFmtId="0" fontId="0" fillId="5" borderId="2" xfId="0" applyFill="1" applyBorder="1" applyAlignment="1">
      <alignment horizontal="left" vertical="center"/>
    </xf>
    <xf numFmtId="0" fontId="5" fillId="5" borderId="2" xfId="0" applyFont="1" applyFill="1" applyBorder="1" applyAlignment="1">
      <alignment horizontal="left" vertical="center"/>
    </xf>
    <xf numFmtId="177" fontId="5" fillId="4" borderId="2" xfId="0" applyNumberFormat="1" applyFont="1" applyFill="1" applyBorder="1" applyAlignment="1">
      <alignment horizontal="right" vertical="center"/>
    </xf>
    <xf numFmtId="178" fontId="5" fillId="4" borderId="2" xfId="0" applyNumberFormat="1" applyFont="1" applyFill="1" applyBorder="1" applyAlignment="1">
      <alignment horizontal="right" vertical="center"/>
    </xf>
    <xf numFmtId="1" fontId="5" fillId="4" borderId="2" xfId="0" applyNumberFormat="1" applyFont="1" applyFill="1" applyBorder="1" applyAlignment="1">
      <alignment horizontal="right" vertical="center"/>
    </xf>
    <xf numFmtId="10" fontId="5" fillId="4" borderId="2" xfId="0" applyNumberFormat="1" applyFont="1" applyFill="1" applyBorder="1" applyAlignment="1">
      <alignment horizontal="right" vertical="center"/>
    </xf>
    <xf numFmtId="179" fontId="5" fillId="4" borderId="2" xfId="0" applyNumberFormat="1" applyFont="1" applyFill="1" applyBorder="1" applyAlignment="1">
      <alignment horizontal="right" vertical="center"/>
    </xf>
    <xf numFmtId="3" fontId="5" fillId="4" borderId="2" xfId="0" applyNumberFormat="1" applyFont="1" applyFill="1" applyBorder="1" applyAlignment="1">
      <alignment horizontal="right" vertical="center"/>
    </xf>
    <xf numFmtId="180" fontId="5" fillId="4" borderId="2" xfId="0" applyNumberFormat="1" applyFont="1" applyFill="1" applyBorder="1" applyAlignment="1">
      <alignment horizontal="right" vertical="center"/>
    </xf>
    <xf numFmtId="1" fontId="5" fillId="6" borderId="2" xfId="0" applyNumberFormat="1" applyFont="1" applyFill="1" applyBorder="1" applyAlignment="1">
      <alignment horizontal="right" vertical="center"/>
    </xf>
    <xf numFmtId="1" fontId="0" fillId="0" borderId="2" xfId="0" applyNumberFormat="1" applyBorder="1" applyAlignment="1">
      <alignment horizontal="right" vertical="center"/>
    </xf>
    <xf numFmtId="178" fontId="0" fillId="0" borderId="2" xfId="0" applyNumberFormat="1" applyBorder="1" applyAlignment="1">
      <alignment horizontal="right" vertical="center"/>
    </xf>
    <xf numFmtId="0" fontId="0" fillId="0" borderId="2" xfId="0" applyBorder="1" applyAlignment="1">
      <alignment horizontal="center" vertical="center"/>
    </xf>
    <xf numFmtId="0" fontId="5" fillId="0" borderId="3" xfId="0" applyFont="1" applyBorder="1"/>
    <xf numFmtId="1" fontId="5" fillId="7" borderId="3" xfId="0" applyNumberFormat="1" applyFont="1" applyFill="1" applyBorder="1" applyAlignment="1">
      <alignment horizontal="right" vertical="center"/>
    </xf>
    <xf numFmtId="1" fontId="5" fillId="0" borderId="3" xfId="0" applyNumberFormat="1" applyFont="1" applyBorder="1" applyAlignment="1">
      <alignment horizontal="right" vertical="center"/>
    </xf>
    <xf numFmtId="178" fontId="5" fillId="0" borderId="3" xfId="0" applyNumberFormat="1" applyFont="1" applyBorder="1" applyAlignment="1">
      <alignment horizontal="right" vertical="center"/>
    </xf>
    <xf numFmtId="0" fontId="5" fillId="0" borderId="3" xfId="0" applyFont="1" applyBorder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181" fontId="6" fillId="5" borderId="2" xfId="0" applyNumberFormat="1" applyFont="1" applyFill="1" applyBorder="1" applyAlignment="1">
      <alignment horizontal="right" vertical="center"/>
    </xf>
    <xf numFmtId="182" fontId="5" fillId="7" borderId="2" xfId="0" applyNumberFormat="1" applyFont="1" applyFill="1" applyBorder="1" applyAlignment="1">
      <alignment horizontal="right" vertical="center"/>
    </xf>
    <xf numFmtId="182" fontId="6" fillId="5" borderId="2" xfId="0" applyNumberFormat="1" applyFont="1" applyFill="1" applyBorder="1" applyAlignment="1">
      <alignment horizontal="right" vertical="center"/>
    </xf>
    <xf numFmtId="176" fontId="6" fillId="5" borderId="2" xfId="0" applyNumberFormat="1" applyFont="1" applyFill="1" applyBorder="1" applyAlignment="1">
      <alignment horizontal="right" vertical="center"/>
    </xf>
    <xf numFmtId="0" fontId="5" fillId="0" borderId="3" xfId="0" applyFont="1" applyBorder="1" applyAlignment="1">
      <alignment horizontal="left" vertical="center"/>
    </xf>
    <xf numFmtId="176" fontId="5" fillId="7" borderId="3" xfId="0" applyNumberFormat="1" applyFont="1" applyFill="1" applyBorder="1" applyAlignment="1">
      <alignment horizontal="right" vertical="center"/>
    </xf>
    <xf numFmtId="0" fontId="0" fillId="0" borderId="3" xfId="0" applyBorder="1" applyAlignment="1">
      <alignment horizontal="left" vertical="center"/>
    </xf>
    <xf numFmtId="180" fontId="6" fillId="5" borderId="2" xfId="0" applyNumberFormat="1" applyFont="1" applyFill="1" applyBorder="1" applyAlignment="1">
      <alignment horizontal="right" vertical="center"/>
    </xf>
    <xf numFmtId="1" fontId="5" fillId="0" borderId="2" xfId="0" applyNumberFormat="1" applyFont="1" applyBorder="1" applyAlignment="1">
      <alignment horizontal="right" vertical="center"/>
    </xf>
    <xf numFmtId="0" fontId="5" fillId="0" borderId="2" xfId="0" applyFont="1" applyBorder="1" applyAlignment="1">
      <alignment horizontal="center" vertical="center"/>
    </xf>
    <xf numFmtId="181" fontId="5" fillId="0" borderId="2" xfId="0" applyNumberFormat="1" applyFont="1" applyBorder="1" applyAlignment="1">
      <alignment horizontal="right" vertical="center"/>
    </xf>
    <xf numFmtId="181" fontId="0" fillId="0" borderId="2" xfId="0" applyNumberFormat="1" applyBorder="1" applyAlignment="1">
      <alignment horizontal="right" vertical="center"/>
    </xf>
    <xf numFmtId="0" fontId="0" fillId="5" borderId="2" xfId="0" applyFill="1" applyBorder="1" applyAlignment="1">
      <alignment horizontal="center" vertical="center"/>
    </xf>
    <xf numFmtId="182" fontId="0" fillId="5" borderId="2" xfId="0" applyNumberFormat="1" applyFill="1" applyBorder="1" applyAlignment="1">
      <alignment horizontal="right" vertical="center"/>
    </xf>
    <xf numFmtId="181" fontId="0" fillId="5" borderId="2" xfId="0" applyNumberFormat="1" applyFill="1" applyBorder="1" applyAlignment="1">
      <alignment horizontal="right" vertical="center"/>
    </xf>
    <xf numFmtId="180" fontId="0" fillId="5" borderId="2" xfId="0" applyNumberFormat="1" applyFill="1" applyBorder="1" applyAlignment="1">
      <alignment horizontal="right" vertical="center"/>
    </xf>
    <xf numFmtId="176" fontId="0" fillId="5" borderId="2" xfId="0" applyNumberFormat="1" applyFill="1" applyBorder="1" applyAlignment="1">
      <alignment horizontal="right" vertical="center"/>
    </xf>
    <xf numFmtId="180" fontId="5" fillId="5" borderId="2" xfId="0" applyNumberFormat="1" applyFont="1" applyFill="1" applyBorder="1" applyAlignment="1">
      <alignment horizontal="right" vertical="center"/>
    </xf>
    <xf numFmtId="176" fontId="5" fillId="5" borderId="2" xfId="0" applyNumberFormat="1" applyFont="1" applyFill="1" applyBorder="1" applyAlignment="1">
      <alignment horizontal="right" vertical="center"/>
    </xf>
    <xf numFmtId="182" fontId="0" fillId="0" borderId="2" xfId="0" applyNumberFormat="1" applyBorder="1" applyAlignment="1">
      <alignment horizontal="right" vertical="center"/>
    </xf>
    <xf numFmtId="180" fontId="0" fillId="0" borderId="2" xfId="0" applyNumberFormat="1" applyBorder="1" applyAlignment="1">
      <alignment horizontal="right" vertical="center"/>
    </xf>
    <xf numFmtId="176" fontId="0" fillId="0" borderId="2" xfId="0" applyNumberFormat="1" applyBorder="1" applyAlignment="1">
      <alignment horizontal="right" vertical="center"/>
    </xf>
    <xf numFmtId="180" fontId="5" fillId="0" borderId="2" xfId="0" applyNumberFormat="1" applyFont="1" applyBorder="1" applyAlignment="1">
      <alignment horizontal="right" vertical="center"/>
    </xf>
    <xf numFmtId="176" fontId="5" fillId="0" borderId="2" xfId="0" applyNumberFormat="1" applyFont="1" applyBorder="1" applyAlignment="1">
      <alignment horizontal="right" vertical="center"/>
    </xf>
    <xf numFmtId="0" fontId="0" fillId="0" borderId="2" xfId="0" applyBorder="1" applyAlignment="1">
      <alignment horizontal="right" vertical="center"/>
    </xf>
    <xf numFmtId="182" fontId="5" fillId="0" borderId="2" xfId="0" applyNumberFormat="1" applyFont="1" applyBorder="1" applyAlignment="1">
      <alignment horizontal="right" vertical="center"/>
    </xf>
    <xf numFmtId="0" fontId="0" fillId="5" borderId="2" xfId="0" applyFill="1" applyBorder="1" applyAlignment="1">
      <alignment horizontal="right" vertical="center"/>
    </xf>
    <xf numFmtId="1" fontId="5" fillId="5" borderId="2" xfId="0" applyNumberFormat="1" applyFont="1" applyFill="1" applyBorder="1" applyAlignment="1">
      <alignment horizontal="right" vertical="center"/>
    </xf>
    <xf numFmtId="0" fontId="5" fillId="5" borderId="2" xfId="0" applyFont="1" applyFill="1" applyBorder="1" applyAlignment="1">
      <alignment horizontal="center" vertical="center"/>
    </xf>
    <xf numFmtId="182" fontId="5" fillId="5" borderId="2" xfId="0" applyNumberFormat="1" applyFont="1" applyFill="1" applyBorder="1" applyAlignment="1">
      <alignment horizontal="right" vertical="center"/>
    </xf>
    <xf numFmtId="0" fontId="1" fillId="0" borderId="0" xfId="0" applyFont="1"/>
    <xf numFmtId="0" fontId="0" fillId="0" borderId="0" xfId="0"/>
    <xf numFmtId="0" fontId="3" fillId="2" borderId="0" xfId="0" applyFont="1" applyFill="1"/>
    <xf numFmtId="0" fontId="3" fillId="2" borderId="0" xfId="0" applyFont="1" applyFill="1" applyAlignment="1">
      <alignment horizontal="left" vertical="center"/>
    </xf>
    <xf numFmtId="0" fontId="2" fillId="0" borderId="0" xfId="0" applyFont="1"/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1"/>
  <sheetViews>
    <sheetView topLeftCell="A35" workbookViewId="0">
      <selection activeCell="C53" sqref="C53"/>
    </sheetView>
  </sheetViews>
  <sheetFormatPr defaultRowHeight="13.2" x14ac:dyDescent="0.2"/>
  <cols>
    <col min="1" max="1" width="30" customWidth="1"/>
    <col min="2" max="2" width="25" customWidth="1"/>
    <col min="3" max="4" width="18" customWidth="1"/>
    <col min="5" max="5" width="45" customWidth="1"/>
    <col min="6" max="6" width="22" customWidth="1"/>
    <col min="7" max="7" width="12" customWidth="1"/>
  </cols>
  <sheetData>
    <row r="1" spans="1:7" ht="21" x14ac:dyDescent="0.4">
      <c r="A1" s="54" t="s">
        <v>0</v>
      </c>
      <c r="B1" s="55"/>
      <c r="C1" s="55"/>
      <c r="D1" s="55"/>
      <c r="E1" s="55"/>
      <c r="F1" s="55"/>
      <c r="G1" s="55"/>
    </row>
    <row r="2" spans="1:7" ht="14.4" x14ac:dyDescent="0.3">
      <c r="A2" s="58" t="s">
        <v>1</v>
      </c>
      <c r="B2" s="55"/>
      <c r="C2" s="55"/>
      <c r="D2" s="55"/>
      <c r="E2" s="55"/>
      <c r="F2" s="55"/>
      <c r="G2" s="55"/>
    </row>
    <row r="4" spans="1:7" ht="15.6" x14ac:dyDescent="0.2">
      <c r="A4" s="57" t="s">
        <v>2</v>
      </c>
      <c r="B4" s="55"/>
      <c r="C4" s="55"/>
      <c r="D4" s="55"/>
      <c r="E4" s="55"/>
      <c r="F4" s="55"/>
      <c r="G4" s="55"/>
    </row>
    <row r="5" spans="1:7" ht="14.4" x14ac:dyDescent="0.2">
      <c r="A5" s="1" t="s">
        <v>3</v>
      </c>
      <c r="B5" s="1" t="s">
        <v>4</v>
      </c>
      <c r="C5" s="1" t="s">
        <v>5</v>
      </c>
      <c r="D5" s="1" t="s">
        <v>6</v>
      </c>
      <c r="E5" s="1" t="s">
        <v>7</v>
      </c>
    </row>
    <row r="6" spans="1:7" ht="14.4" x14ac:dyDescent="0.2">
      <c r="A6" s="2" t="s">
        <v>8</v>
      </c>
      <c r="B6" s="3" t="s">
        <v>9</v>
      </c>
      <c r="C6" s="4">
        <v>8800</v>
      </c>
      <c r="D6" s="2" t="s">
        <v>10</v>
      </c>
      <c r="E6" s="2" t="s">
        <v>11</v>
      </c>
    </row>
    <row r="7" spans="1:7" ht="14.4" x14ac:dyDescent="0.2">
      <c r="A7" s="5" t="s">
        <v>8</v>
      </c>
      <c r="B7" s="6" t="s">
        <v>12</v>
      </c>
      <c r="C7" s="4">
        <v>880</v>
      </c>
      <c r="D7" s="5" t="s">
        <v>10</v>
      </c>
      <c r="E7" s="5" t="s">
        <v>13</v>
      </c>
    </row>
    <row r="8" spans="1:7" ht="14.4" x14ac:dyDescent="0.2">
      <c r="A8" s="2" t="s">
        <v>8</v>
      </c>
      <c r="B8" s="3" t="s">
        <v>14</v>
      </c>
      <c r="C8" s="7">
        <v>2.5</v>
      </c>
      <c r="D8" s="2" t="s">
        <v>15</v>
      </c>
      <c r="E8" s="2" t="s">
        <v>16</v>
      </c>
    </row>
    <row r="9" spans="1:7" ht="14.4" x14ac:dyDescent="0.2">
      <c r="A9" s="5" t="s">
        <v>8</v>
      </c>
      <c r="B9" s="6" t="s">
        <v>17</v>
      </c>
      <c r="C9" s="8">
        <v>0.1</v>
      </c>
      <c r="D9" s="5" t="s">
        <v>18</v>
      </c>
      <c r="E9" s="5" t="s">
        <v>19</v>
      </c>
    </row>
    <row r="10" spans="1:7" ht="14.4" x14ac:dyDescent="0.2">
      <c r="A10" s="2" t="s">
        <v>8</v>
      </c>
      <c r="B10" s="3" t="s">
        <v>20</v>
      </c>
      <c r="C10" s="9">
        <v>20</v>
      </c>
      <c r="D10" s="2" t="s">
        <v>21</v>
      </c>
      <c r="E10" s="2" t="s">
        <v>22</v>
      </c>
    </row>
    <row r="11" spans="1:7" ht="14.4" x14ac:dyDescent="0.2">
      <c r="A11" s="5" t="s">
        <v>23</v>
      </c>
      <c r="B11" s="6" t="s">
        <v>24</v>
      </c>
      <c r="C11" s="4">
        <v>2094</v>
      </c>
      <c r="D11" s="5" t="s">
        <v>10</v>
      </c>
      <c r="E11" s="5" t="s">
        <v>25</v>
      </c>
    </row>
    <row r="12" spans="1:7" ht="14.4" x14ac:dyDescent="0.2">
      <c r="A12" s="2" t="s">
        <v>23</v>
      </c>
      <c r="B12" s="3" t="s">
        <v>26</v>
      </c>
      <c r="C12" s="4">
        <v>440</v>
      </c>
      <c r="D12" s="2" t="s">
        <v>10</v>
      </c>
      <c r="E12" s="2" t="s">
        <v>27</v>
      </c>
    </row>
    <row r="13" spans="1:7" ht="14.4" x14ac:dyDescent="0.2">
      <c r="A13" s="5" t="s">
        <v>23</v>
      </c>
      <c r="B13" s="6" t="s">
        <v>28</v>
      </c>
      <c r="C13" s="7">
        <v>0.83299999999999996</v>
      </c>
      <c r="D13" s="5" t="s">
        <v>15</v>
      </c>
      <c r="E13" s="5" t="s">
        <v>16</v>
      </c>
    </row>
    <row r="14" spans="1:7" ht="14.4" x14ac:dyDescent="0.2">
      <c r="A14" s="2" t="s">
        <v>23</v>
      </c>
      <c r="B14" s="3" t="s">
        <v>29</v>
      </c>
      <c r="C14" s="10">
        <v>2.5000000000000001E-2</v>
      </c>
      <c r="D14" s="2" t="s">
        <v>18</v>
      </c>
      <c r="E14" s="2" t="s">
        <v>19</v>
      </c>
    </row>
    <row r="15" spans="1:7" ht="14.4" x14ac:dyDescent="0.2">
      <c r="A15" s="5" t="s">
        <v>23</v>
      </c>
      <c r="B15" s="6" t="s">
        <v>30</v>
      </c>
      <c r="C15" s="9">
        <v>20</v>
      </c>
      <c r="D15" s="5" t="s">
        <v>21</v>
      </c>
      <c r="E15" s="5" t="s">
        <v>31</v>
      </c>
    </row>
    <row r="16" spans="1:7" ht="14.4" x14ac:dyDescent="0.2">
      <c r="A16" s="2" t="s">
        <v>32</v>
      </c>
      <c r="B16" s="3" t="s">
        <v>33</v>
      </c>
      <c r="C16" s="4">
        <v>2700</v>
      </c>
      <c r="D16" s="2" t="s">
        <v>10</v>
      </c>
      <c r="E16" s="2" t="s">
        <v>34</v>
      </c>
    </row>
    <row r="17" spans="1:7" ht="14.4" x14ac:dyDescent="0.2">
      <c r="A17" s="5" t="s">
        <v>32</v>
      </c>
      <c r="B17" s="6" t="s">
        <v>35</v>
      </c>
      <c r="C17" s="4">
        <v>880</v>
      </c>
      <c r="D17" s="5" t="s">
        <v>10</v>
      </c>
      <c r="E17" s="5" t="s">
        <v>36</v>
      </c>
    </row>
    <row r="18" spans="1:7" ht="14.4" x14ac:dyDescent="0.2">
      <c r="A18" s="2" t="s">
        <v>32</v>
      </c>
      <c r="B18" s="3" t="s">
        <v>37</v>
      </c>
      <c r="C18" s="7">
        <v>1.25</v>
      </c>
      <c r="D18" s="2" t="s">
        <v>15</v>
      </c>
      <c r="E18" s="2" t="s">
        <v>16</v>
      </c>
    </row>
    <row r="19" spans="1:7" ht="14.4" x14ac:dyDescent="0.2">
      <c r="A19" s="5" t="s">
        <v>32</v>
      </c>
      <c r="B19" s="6" t="s">
        <v>38</v>
      </c>
      <c r="C19" s="11">
        <v>1.2500000000000001E-2</v>
      </c>
      <c r="D19" s="5" t="s">
        <v>18</v>
      </c>
      <c r="E19" s="5" t="s">
        <v>19</v>
      </c>
    </row>
    <row r="20" spans="1:7" ht="14.4" x14ac:dyDescent="0.2">
      <c r="A20" s="2" t="s">
        <v>32</v>
      </c>
      <c r="B20" s="3" t="s">
        <v>39</v>
      </c>
      <c r="C20" s="9">
        <v>30</v>
      </c>
      <c r="D20" s="2" t="s">
        <v>21</v>
      </c>
      <c r="E20" s="2" t="s">
        <v>40</v>
      </c>
    </row>
    <row r="21" spans="1:7" ht="14.4" x14ac:dyDescent="0.2">
      <c r="A21" s="5" t="s">
        <v>41</v>
      </c>
      <c r="B21" s="6" t="s">
        <v>42</v>
      </c>
      <c r="C21" s="9">
        <v>36</v>
      </c>
      <c r="D21" s="5" t="s">
        <v>43</v>
      </c>
      <c r="E21" s="5" t="s">
        <v>44</v>
      </c>
    </row>
    <row r="22" spans="1:7" ht="14.4" x14ac:dyDescent="0.2">
      <c r="A22" s="2" t="s">
        <v>41</v>
      </c>
      <c r="B22" s="3" t="s">
        <v>45</v>
      </c>
      <c r="C22" s="9">
        <v>64</v>
      </c>
      <c r="D22" s="2" t="s">
        <v>21</v>
      </c>
      <c r="E22" s="2" t="s">
        <v>46</v>
      </c>
    </row>
    <row r="23" spans="1:7" ht="14.4" x14ac:dyDescent="0.2">
      <c r="A23" s="5" t="s">
        <v>47</v>
      </c>
      <c r="B23" s="6" t="s">
        <v>48</v>
      </c>
      <c r="C23" s="12">
        <v>720</v>
      </c>
      <c r="D23" s="5" t="s">
        <v>49</v>
      </c>
      <c r="E23" s="5" t="s">
        <v>50</v>
      </c>
    </row>
    <row r="24" spans="1:7" ht="14.4" x14ac:dyDescent="0.2">
      <c r="A24" s="2" t="s">
        <v>51</v>
      </c>
      <c r="B24" s="3" t="s">
        <v>52</v>
      </c>
      <c r="C24" s="13">
        <v>34.72</v>
      </c>
      <c r="D24" s="2" t="s">
        <v>53</v>
      </c>
      <c r="E24" s="2" t="s">
        <v>54</v>
      </c>
    </row>
    <row r="25" spans="1:7" ht="14.4" x14ac:dyDescent="0.2">
      <c r="A25" s="5" t="s">
        <v>47</v>
      </c>
      <c r="B25" s="6" t="s">
        <v>55</v>
      </c>
      <c r="C25" s="12">
        <v>5760</v>
      </c>
      <c r="D25" s="5" t="s">
        <v>49</v>
      </c>
      <c r="E25" s="5" t="s">
        <v>56</v>
      </c>
    </row>
    <row r="26" spans="1:7" ht="14.4" x14ac:dyDescent="0.2">
      <c r="A26" s="2" t="s">
        <v>51</v>
      </c>
      <c r="B26" s="3" t="s">
        <v>57</v>
      </c>
      <c r="C26" s="13">
        <v>17.36</v>
      </c>
      <c r="D26" s="2" t="s">
        <v>53</v>
      </c>
      <c r="E26" s="2" t="s">
        <v>58</v>
      </c>
    </row>
    <row r="27" spans="1:7" ht="14.4" x14ac:dyDescent="0.2">
      <c r="A27" s="5" t="s">
        <v>47</v>
      </c>
      <c r="B27" s="6" t="s">
        <v>59</v>
      </c>
      <c r="C27" s="12">
        <v>6480</v>
      </c>
      <c r="D27" s="5" t="s">
        <v>49</v>
      </c>
      <c r="E27" s="5" t="s">
        <v>60</v>
      </c>
    </row>
    <row r="28" spans="1:7" ht="14.4" x14ac:dyDescent="0.2">
      <c r="A28" s="2" t="s">
        <v>61</v>
      </c>
      <c r="B28" s="3" t="s">
        <v>62</v>
      </c>
      <c r="C28" s="4">
        <v>20000</v>
      </c>
      <c r="D28" s="2" t="s">
        <v>63</v>
      </c>
      <c r="E28" s="2" t="s">
        <v>64</v>
      </c>
    </row>
    <row r="30" spans="1:7" ht="15.6" x14ac:dyDescent="0.3">
      <c r="A30" s="56" t="s">
        <v>65</v>
      </c>
      <c r="B30" s="55"/>
      <c r="C30" s="55"/>
      <c r="D30" s="55"/>
      <c r="E30" s="55"/>
      <c r="F30" s="55"/>
      <c r="G30" s="55"/>
    </row>
    <row r="31" spans="1:7" ht="14.4" x14ac:dyDescent="0.2">
      <c r="A31" s="1" t="s">
        <v>66</v>
      </c>
      <c r="B31" s="1" t="s">
        <v>4</v>
      </c>
      <c r="C31" s="1" t="s">
        <v>67</v>
      </c>
      <c r="D31" s="1" t="s">
        <v>68</v>
      </c>
      <c r="E31" s="1" t="s">
        <v>69</v>
      </c>
      <c r="F31" s="1" t="s">
        <v>70</v>
      </c>
    </row>
    <row r="32" spans="1:7" ht="14.4" x14ac:dyDescent="0.2">
      <c r="A32" s="2" t="s">
        <v>8</v>
      </c>
      <c r="B32" s="3" t="s">
        <v>71</v>
      </c>
      <c r="C32" s="14">
        <v>10</v>
      </c>
      <c r="D32" s="15">
        <f>TOM_MAX_BEDS</f>
        <v>20</v>
      </c>
      <c r="E32" s="16">
        <f>C32/D32</f>
        <v>0.5</v>
      </c>
      <c r="F32" s="17" t="str">
        <f>IF(C32&lt;=D32,"OK (Within Limit)","EXCEEDED CAP")</f>
        <v>OK (Within Limit)</v>
      </c>
    </row>
    <row r="33" spans="1:7" ht="14.4" x14ac:dyDescent="0.2">
      <c r="A33" s="2" t="s">
        <v>23</v>
      </c>
      <c r="B33" s="3" t="s">
        <v>72</v>
      </c>
      <c r="C33" s="14">
        <v>20</v>
      </c>
      <c r="D33" s="15">
        <f>CAR_MAX_BEDS</f>
        <v>20</v>
      </c>
      <c r="E33" s="16">
        <f>C33/D33</f>
        <v>1</v>
      </c>
      <c r="F33" s="17" t="str">
        <f>IF(C33&lt;=D33,"OK (Within Limit)","EXCEEDED CAP")</f>
        <v>OK (Within Limit)</v>
      </c>
    </row>
    <row r="34" spans="1:7" ht="14.4" x14ac:dyDescent="0.2">
      <c r="A34" s="2" t="s">
        <v>32</v>
      </c>
      <c r="B34" s="3" t="s">
        <v>73</v>
      </c>
      <c r="C34" s="14">
        <v>30</v>
      </c>
      <c r="D34" s="15">
        <f>MES_MAX_BEDS</f>
        <v>30</v>
      </c>
      <c r="E34" s="16">
        <f>C34/D34</f>
        <v>1</v>
      </c>
      <c r="F34" s="17" t="str">
        <f>IF(C34&lt;=D34,"OK (Within Limit)","EXCEEDED CAP")</f>
        <v>OK (Within Limit)</v>
      </c>
    </row>
    <row r="35" spans="1:7" ht="14.4" x14ac:dyDescent="0.3">
      <c r="A35" s="18" t="s">
        <v>74</v>
      </c>
      <c r="B35" s="18" t="s">
        <v>75</v>
      </c>
      <c r="C35" s="19">
        <f>SUM(C32:C34)</f>
        <v>60</v>
      </c>
      <c r="D35" s="20">
        <f>FARM_MAX_BEDS</f>
        <v>64</v>
      </c>
      <c r="E35" s="21">
        <f>C35/D35</f>
        <v>0.9375</v>
      </c>
      <c r="F35" s="22" t="str">
        <f>IF(C35&lt;=D35,"OK (Within Land Cap)","LAND OVER CAPACITY")</f>
        <v>OK (Within Land Cap)</v>
      </c>
    </row>
    <row r="37" spans="1:7" ht="15.6" x14ac:dyDescent="0.3">
      <c r="A37" s="56" t="s">
        <v>76</v>
      </c>
      <c r="B37" s="55"/>
      <c r="C37" s="55"/>
      <c r="D37" s="55"/>
      <c r="E37" s="55"/>
      <c r="F37" s="55"/>
      <c r="G37" s="55"/>
    </row>
    <row r="38" spans="1:7" ht="14.4" x14ac:dyDescent="0.2">
      <c r="A38" s="1" t="s">
        <v>77</v>
      </c>
      <c r="B38" s="1" t="s">
        <v>78</v>
      </c>
      <c r="C38" s="1" t="s">
        <v>79</v>
      </c>
      <c r="D38" s="1" t="s">
        <v>6</v>
      </c>
      <c r="E38" s="1" t="s">
        <v>80</v>
      </c>
    </row>
    <row r="39" spans="1:7" ht="14.4" x14ac:dyDescent="0.2">
      <c r="A39" s="2" t="s">
        <v>81</v>
      </c>
      <c r="B39" s="23" t="s">
        <v>82</v>
      </c>
      <c r="C39" s="24">
        <f>BEDS_TOMATO*TOM_BASE_HRS*WEEKS*(1+TOM_DIM_PCT)^BEDS_TOMATO</f>
        <v>2334.3682140900019</v>
      </c>
      <c r="D39" s="2" t="s">
        <v>49</v>
      </c>
      <c r="E39" s="2" t="s">
        <v>83</v>
      </c>
    </row>
    <row r="40" spans="1:7" ht="14.4" x14ac:dyDescent="0.2">
      <c r="A40" s="2" t="s">
        <v>84</v>
      </c>
      <c r="B40" s="23" t="s">
        <v>85</v>
      </c>
      <c r="C40" s="24">
        <f>BEDS_CARROT*CAR_BASE_HRS*WEEKS*(1+CAR_DIM_PCT)^BEDS_CARROT</f>
        <v>982.77659622856766</v>
      </c>
      <c r="D40" s="2" t="s">
        <v>49</v>
      </c>
      <c r="E40" s="2" t="s">
        <v>86</v>
      </c>
    </row>
    <row r="41" spans="1:7" ht="14.4" x14ac:dyDescent="0.2">
      <c r="A41" s="2" t="s">
        <v>87</v>
      </c>
      <c r="B41" s="23" t="s">
        <v>88</v>
      </c>
      <c r="C41" s="24">
        <f>BEDS_MESCLUN*MES_BASE_HRS*WEEKS*(1+MES_DIM_PCT)^BEDS_MESCLUN</f>
        <v>1959.6780360096488</v>
      </c>
      <c r="D41" s="2" t="s">
        <v>49</v>
      </c>
      <c r="E41" s="2" t="s">
        <v>89</v>
      </c>
    </row>
    <row r="42" spans="1:7" ht="14.4" x14ac:dyDescent="0.2">
      <c r="A42" s="3" t="s">
        <v>90</v>
      </c>
      <c r="B42" s="3" t="s">
        <v>91</v>
      </c>
      <c r="C42" s="25">
        <f>LABOR_HRS_TOMATO+LABOR_HRS_CARROT+LABOR_HRS_MESCLUN</f>
        <v>5276.8228463282185</v>
      </c>
      <c r="D42" s="2" t="s">
        <v>49</v>
      </c>
      <c r="E42" s="2" t="s">
        <v>92</v>
      </c>
    </row>
    <row r="43" spans="1:7" ht="14.4" x14ac:dyDescent="0.2">
      <c r="A43" s="2" t="s">
        <v>93</v>
      </c>
      <c r="B43" s="23" t="s">
        <v>94</v>
      </c>
      <c r="C43" s="26">
        <f>MIN(TOTAL_LABOR_HRS, OWNER_HRS_CAP)</f>
        <v>720</v>
      </c>
      <c r="D43" s="2" t="s">
        <v>49</v>
      </c>
      <c r="E43" s="2" t="s">
        <v>95</v>
      </c>
    </row>
    <row r="44" spans="1:7" ht="14.4" x14ac:dyDescent="0.2">
      <c r="A44" s="2" t="s">
        <v>96</v>
      </c>
      <c r="B44" s="23" t="s">
        <v>97</v>
      </c>
      <c r="C44" s="26">
        <f>MAX(0, TOTAL_LABOR_HRS-OWNER_HRS_CAP)</f>
        <v>4556.8228463282185</v>
      </c>
      <c r="D44" s="2" t="s">
        <v>49</v>
      </c>
      <c r="E44" s="2" t="s">
        <v>98</v>
      </c>
    </row>
    <row r="45" spans="1:7" ht="14.4" x14ac:dyDescent="0.2">
      <c r="A45" s="2" t="s">
        <v>99</v>
      </c>
      <c r="B45" s="23" t="s">
        <v>100</v>
      </c>
      <c r="C45" s="27">
        <f>OWNER_HRS_USED*OWNER_RATE</f>
        <v>24998.399999999998</v>
      </c>
      <c r="D45" s="2" t="s">
        <v>101</v>
      </c>
      <c r="E45" s="2" t="s">
        <v>102</v>
      </c>
    </row>
    <row r="46" spans="1:7" ht="14.4" x14ac:dyDescent="0.2">
      <c r="A46" s="2" t="s">
        <v>103</v>
      </c>
      <c r="B46" s="23" t="s">
        <v>104</v>
      </c>
      <c r="C46" s="27">
        <f>TEMP_HRS_USED*TEMP_RATE</f>
        <v>79106.444612257867</v>
      </c>
      <c r="D46" s="2" t="s">
        <v>101</v>
      </c>
      <c r="E46" s="2" t="s">
        <v>105</v>
      </c>
    </row>
    <row r="47" spans="1:7" ht="14.4" x14ac:dyDescent="0.2">
      <c r="A47" s="28" t="s">
        <v>106</v>
      </c>
      <c r="B47" s="28" t="s">
        <v>107</v>
      </c>
      <c r="C47" s="29">
        <f>OWNER_LABOR_COST+TEMP_LABOR_COST</f>
        <v>104104.84461225786</v>
      </c>
      <c r="D47" s="30" t="s">
        <v>101</v>
      </c>
      <c r="E47" s="30" t="s">
        <v>108</v>
      </c>
    </row>
    <row r="48" spans="1:7" ht="14.4" x14ac:dyDescent="0.2">
      <c r="A48" s="2" t="s">
        <v>109</v>
      </c>
      <c r="B48" s="23" t="s">
        <v>110</v>
      </c>
      <c r="C48" s="31">
        <f>TOTAL_LABOR_COST/TOTAL_LABOR_HRS</f>
        <v>19.728698052597565</v>
      </c>
      <c r="D48" s="2" t="s">
        <v>53</v>
      </c>
      <c r="E48" s="2" t="s">
        <v>111</v>
      </c>
    </row>
    <row r="49" spans="1:7" ht="14.4" x14ac:dyDescent="0.2">
      <c r="A49" s="28" t="s">
        <v>112</v>
      </c>
      <c r="B49" s="28" t="s">
        <v>113</v>
      </c>
      <c r="C49" s="29">
        <f>(BEDS_TOMATO*TOM_PRICE)+(BEDS_CARROT*CAR_PRICE)+(BEDS_MESCLUN*MES_PRICE)</f>
        <v>210880</v>
      </c>
      <c r="D49" s="30" t="s">
        <v>101</v>
      </c>
      <c r="E49" s="30" t="s">
        <v>114</v>
      </c>
    </row>
    <row r="50" spans="1:7" ht="14.4" x14ac:dyDescent="0.2">
      <c r="A50" s="2" t="s">
        <v>115</v>
      </c>
      <c r="B50" s="23" t="s">
        <v>116</v>
      </c>
      <c r="C50" s="27">
        <f>(BEDS_TOMATO*TOM_FERT)+(BEDS_CARROT*CAR_FERT)+(BEDS_MESCLUN*MES_FERT)</f>
        <v>44000</v>
      </c>
      <c r="D50" s="2" t="s">
        <v>101</v>
      </c>
      <c r="E50" s="2" t="s">
        <v>117</v>
      </c>
    </row>
    <row r="51" spans="1:7" ht="14.4" x14ac:dyDescent="0.2">
      <c r="A51" s="2" t="s">
        <v>118</v>
      </c>
      <c r="B51" s="23" t="s">
        <v>119</v>
      </c>
      <c r="C51" s="27">
        <f>FIXED_OVERHEAD</f>
        <v>20000</v>
      </c>
      <c r="D51" s="2" t="s">
        <v>101</v>
      </c>
      <c r="E51" s="2" t="s">
        <v>120</v>
      </c>
    </row>
    <row r="52" spans="1:7" ht="14.4" x14ac:dyDescent="0.2">
      <c r="A52" s="28" t="s">
        <v>121</v>
      </c>
      <c r="B52" s="28" t="s">
        <v>122</v>
      </c>
      <c r="C52" s="29">
        <f>TOTAL_REVENUE-TOTAL_FERTILIZER-TOTAL_LABOR_COST-FIXED_OVERHEAD</f>
        <v>42775.155387742139</v>
      </c>
      <c r="D52" s="30" t="s">
        <v>101</v>
      </c>
      <c r="E52" s="30" t="s">
        <v>123</v>
      </c>
    </row>
    <row r="55" spans="1:7" ht="15.6" x14ac:dyDescent="0.3">
      <c r="A55" s="56" t="s">
        <v>124</v>
      </c>
      <c r="B55" s="55"/>
      <c r="C55" s="55"/>
      <c r="D55" s="55"/>
      <c r="E55" s="55"/>
      <c r="F55" s="55"/>
      <c r="G55" s="55"/>
    </row>
    <row r="56" spans="1:7" ht="14.4" x14ac:dyDescent="0.2">
      <c r="A56" s="1" t="s">
        <v>125</v>
      </c>
      <c r="B56" s="1" t="s">
        <v>126</v>
      </c>
      <c r="C56" s="1" t="s">
        <v>127</v>
      </c>
      <c r="D56" s="1" t="s">
        <v>128</v>
      </c>
      <c r="E56" s="1" t="s">
        <v>129</v>
      </c>
      <c r="F56" s="1" t="s">
        <v>130</v>
      </c>
    </row>
    <row r="57" spans="1:7" ht="14.4" x14ac:dyDescent="0.2">
      <c r="A57" s="2" t="s">
        <v>131</v>
      </c>
      <c r="B57" s="32">
        <f>BEDS_TOMATO</f>
        <v>10</v>
      </c>
      <c r="C57" s="17" t="s">
        <v>132</v>
      </c>
      <c r="D57" s="32">
        <f>TOM_MAX_BEDS</f>
        <v>20</v>
      </c>
      <c r="E57" s="15">
        <f>D57-B57</f>
        <v>10</v>
      </c>
      <c r="F57" s="33" t="str">
        <f>IF(B57&lt;=D57,"SATISFIED","VIOLATED")</f>
        <v>SATISFIED</v>
      </c>
    </row>
    <row r="58" spans="1:7" ht="14.4" x14ac:dyDescent="0.2">
      <c r="A58" s="2" t="s">
        <v>133</v>
      </c>
      <c r="B58" s="32">
        <f>BEDS_CARROT</f>
        <v>20</v>
      </c>
      <c r="C58" s="17" t="s">
        <v>132</v>
      </c>
      <c r="D58" s="32">
        <f>CAR_MAX_BEDS</f>
        <v>20</v>
      </c>
      <c r="E58" s="15">
        <f>D58-B58</f>
        <v>0</v>
      </c>
      <c r="F58" s="33" t="str">
        <f>IF(B58&lt;=D58,"SATISFIED","VIOLATED")</f>
        <v>SATISFIED</v>
      </c>
    </row>
    <row r="59" spans="1:7" ht="14.4" x14ac:dyDescent="0.2">
      <c r="A59" s="2" t="s">
        <v>134</v>
      </c>
      <c r="B59" s="32">
        <f>BEDS_MESCLUN</f>
        <v>30</v>
      </c>
      <c r="C59" s="17" t="s">
        <v>132</v>
      </c>
      <c r="D59" s="32">
        <f>MES_MAX_BEDS</f>
        <v>30</v>
      </c>
      <c r="E59" s="15">
        <f>D59-B59</f>
        <v>0</v>
      </c>
      <c r="F59" s="33" t="str">
        <f>IF(B59&lt;=D59,"SATISFIED","VIOLATED")</f>
        <v>SATISFIED</v>
      </c>
    </row>
    <row r="60" spans="1:7" ht="14.4" x14ac:dyDescent="0.2">
      <c r="A60" s="2" t="s">
        <v>135</v>
      </c>
      <c r="B60" s="32">
        <f>TOTAL_PLANTED_BEDS</f>
        <v>60</v>
      </c>
      <c r="C60" s="17" t="s">
        <v>132</v>
      </c>
      <c r="D60" s="32">
        <f>FARM_MAX_BEDS</f>
        <v>64</v>
      </c>
      <c r="E60" s="15">
        <f>D60-B60</f>
        <v>4</v>
      </c>
      <c r="F60" s="33" t="str">
        <f>IF(B60&lt;=D60,"SATISFIED","VIOLATED")</f>
        <v>SATISFIED</v>
      </c>
    </row>
    <row r="61" spans="1:7" ht="14.4" x14ac:dyDescent="0.2">
      <c r="A61" s="2" t="s">
        <v>136</v>
      </c>
      <c r="B61" s="34">
        <f>TOTAL_LABOR_HRS</f>
        <v>5276.8228463282185</v>
      </c>
      <c r="C61" s="17" t="s">
        <v>132</v>
      </c>
      <c r="D61" s="34">
        <f>TOTAL_LABOR_CAP</f>
        <v>6480</v>
      </c>
      <c r="E61" s="35">
        <f>D61-B61</f>
        <v>1203.1771536717815</v>
      </c>
      <c r="F61" s="33" t="str">
        <f>IF(B61&lt;=D61,"SATISFIED","VIOLATED")</f>
        <v>SATISFIED</v>
      </c>
    </row>
  </sheetData>
  <mergeCells count="6">
    <mergeCell ref="A1:G1"/>
    <mergeCell ref="A55:G55"/>
    <mergeCell ref="A4:G4"/>
    <mergeCell ref="A30:G30"/>
    <mergeCell ref="A2:G2"/>
    <mergeCell ref="A37:G37"/>
  </mergeCells>
  <phoneticPr fontId="7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1"/>
  <sheetViews>
    <sheetView tabSelected="1" topLeftCell="B1" workbookViewId="0">
      <selection activeCell="D10" sqref="D10"/>
    </sheetView>
  </sheetViews>
  <sheetFormatPr defaultRowHeight="13.2" x14ac:dyDescent="0.2"/>
  <cols>
    <col min="1" max="1" width="10" customWidth="1"/>
    <col min="2" max="2" width="20" customWidth="1"/>
    <col min="3" max="3" width="18" customWidth="1"/>
    <col min="4" max="4" width="22" customWidth="1"/>
    <col min="5" max="5" width="18" customWidth="1"/>
    <col min="6" max="6" width="22" customWidth="1"/>
    <col min="7" max="7" width="16" customWidth="1"/>
    <col min="8" max="8" width="24" customWidth="1"/>
  </cols>
  <sheetData>
    <row r="1" spans="1:8" ht="21" x14ac:dyDescent="0.4">
      <c r="A1" s="54" t="s">
        <v>137</v>
      </c>
      <c r="B1" s="55"/>
      <c r="C1" s="55"/>
      <c r="D1" s="55"/>
      <c r="E1" s="55"/>
      <c r="F1" s="55"/>
      <c r="G1" s="55"/>
    </row>
    <row r="2" spans="1:8" ht="14.4" x14ac:dyDescent="0.3">
      <c r="A2" s="58" t="s">
        <v>138</v>
      </c>
      <c r="B2" s="55"/>
      <c r="C2" s="55"/>
      <c r="D2" s="55"/>
      <c r="E2" s="55"/>
      <c r="F2" s="55"/>
      <c r="G2" s="55"/>
    </row>
    <row r="4" spans="1:8" ht="15.6" x14ac:dyDescent="0.2">
      <c r="A4" s="57" t="s">
        <v>139</v>
      </c>
      <c r="B4" s="55"/>
      <c r="C4" s="55"/>
      <c r="D4" s="55"/>
      <c r="E4" s="55"/>
      <c r="F4" s="55"/>
      <c r="G4" s="55"/>
      <c r="H4" s="55"/>
    </row>
    <row r="5" spans="1:8" ht="14.4" x14ac:dyDescent="0.2">
      <c r="A5" s="1" t="s">
        <v>140</v>
      </c>
      <c r="B5" s="1" t="s">
        <v>141</v>
      </c>
      <c r="C5" s="1" t="s">
        <v>142</v>
      </c>
      <c r="D5" s="1" t="s">
        <v>143</v>
      </c>
      <c r="E5" s="1" t="s">
        <v>144</v>
      </c>
      <c r="F5" s="1" t="s">
        <v>145</v>
      </c>
      <c r="G5" s="1" t="s">
        <v>146</v>
      </c>
      <c r="H5" s="1" t="s">
        <v>147</v>
      </c>
    </row>
    <row r="6" spans="1:8" ht="14.4" x14ac:dyDescent="0.2">
      <c r="A6" s="36">
        <v>1</v>
      </c>
      <c r="B6" s="37">
        <f>1*TOM_BASE_HRS*WEEKS*(1+TOM_DIM_PCT)^1</f>
        <v>99.000000000000014</v>
      </c>
      <c r="C6" s="38">
        <f>B6</f>
        <v>99.000000000000014</v>
      </c>
      <c r="D6" s="39">
        <f t="shared" ref="D6:D25" si="0">C6*BLENDED_LABOR_RATE</f>
        <v>1953.1411072071592</v>
      </c>
      <c r="E6" s="40">
        <f t="shared" ref="E6:E25" si="1">TOM_FERT</f>
        <v>880</v>
      </c>
      <c r="F6" s="41">
        <f t="shared" ref="F6:F25" si="2">D6+E6</f>
        <v>2833.1411072071592</v>
      </c>
      <c r="G6" s="42">
        <f t="shared" ref="G6:G25" si="3">TOM_PRICE</f>
        <v>8800</v>
      </c>
      <c r="H6" s="41">
        <f t="shared" ref="H6:H25" si="4">G6-F6</f>
        <v>5966.8588927928413</v>
      </c>
    </row>
    <row r="7" spans="1:8" ht="14.4" x14ac:dyDescent="0.2">
      <c r="A7" s="17">
        <v>2</v>
      </c>
      <c r="B7" s="43">
        <f>2*TOM_BASE_HRS*WEEKS*(1+TOM_DIM_PCT)^2</f>
        <v>217.80000000000004</v>
      </c>
      <c r="C7" s="35">
        <f t="shared" ref="C7:C25" si="5">B7-B6</f>
        <v>118.80000000000003</v>
      </c>
      <c r="D7" s="44">
        <f t="shared" si="0"/>
        <v>2343.7693286485915</v>
      </c>
      <c r="E7" s="45">
        <f t="shared" si="1"/>
        <v>880</v>
      </c>
      <c r="F7" s="46">
        <f t="shared" si="2"/>
        <v>3223.7693286485915</v>
      </c>
      <c r="G7" s="47">
        <f t="shared" si="3"/>
        <v>8800</v>
      </c>
      <c r="H7" s="46">
        <f t="shared" si="4"/>
        <v>5576.2306713514081</v>
      </c>
    </row>
    <row r="8" spans="1:8" ht="14.4" x14ac:dyDescent="0.2">
      <c r="A8" s="36">
        <v>3</v>
      </c>
      <c r="B8" s="37">
        <f>3*TOM_BASE_HRS*WEEKS*(1+TOM_DIM_PCT)^3</f>
        <v>359.37000000000012</v>
      </c>
      <c r="C8" s="38">
        <f t="shared" si="5"/>
        <v>141.57000000000008</v>
      </c>
      <c r="D8" s="39">
        <f t="shared" si="0"/>
        <v>2792.9917833062386</v>
      </c>
      <c r="E8" s="40">
        <f t="shared" si="1"/>
        <v>880</v>
      </c>
      <c r="F8" s="41">
        <f t="shared" si="2"/>
        <v>3672.9917833062386</v>
      </c>
      <c r="G8" s="42">
        <f t="shared" si="3"/>
        <v>8800</v>
      </c>
      <c r="H8" s="41">
        <f t="shared" si="4"/>
        <v>5127.0082166937609</v>
      </c>
    </row>
    <row r="9" spans="1:8" ht="14.4" x14ac:dyDescent="0.2">
      <c r="A9" s="17">
        <v>4</v>
      </c>
      <c r="B9" s="43">
        <f>4*TOM_BASE_HRS*WEEKS*(1+TOM_DIM_PCT)^4</f>
        <v>527.07600000000014</v>
      </c>
      <c r="C9" s="35">
        <f t="shared" si="5"/>
        <v>167.70600000000002</v>
      </c>
      <c r="D9" s="44">
        <f t="shared" si="0"/>
        <v>3308.6210356089277</v>
      </c>
      <c r="E9" s="45">
        <f t="shared" si="1"/>
        <v>880</v>
      </c>
      <c r="F9" s="46">
        <f t="shared" si="2"/>
        <v>4188.6210356089277</v>
      </c>
      <c r="G9" s="47">
        <f t="shared" si="3"/>
        <v>8800</v>
      </c>
      <c r="H9" s="46">
        <f t="shared" si="4"/>
        <v>4611.3789643910723</v>
      </c>
    </row>
    <row r="10" spans="1:8" ht="14.4" x14ac:dyDescent="0.2">
      <c r="A10" s="36">
        <v>5</v>
      </c>
      <c r="B10" s="37">
        <f>5*TOM_BASE_HRS*WEEKS*(1+TOM_DIM_PCT)^5</f>
        <v>724.72950000000026</v>
      </c>
      <c r="C10" s="38">
        <f t="shared" si="5"/>
        <v>197.65350000000012</v>
      </c>
      <c r="D10" s="39">
        <f t="shared" si="0"/>
        <v>3899.4462205390951</v>
      </c>
      <c r="E10" s="40">
        <f t="shared" si="1"/>
        <v>880</v>
      </c>
      <c r="F10" s="41">
        <f t="shared" si="2"/>
        <v>4779.4462205390955</v>
      </c>
      <c r="G10" s="42">
        <f t="shared" si="3"/>
        <v>8800</v>
      </c>
      <c r="H10" s="41">
        <f t="shared" si="4"/>
        <v>4020.5537794609045</v>
      </c>
    </row>
    <row r="11" spans="1:8" ht="14.4" x14ac:dyDescent="0.2">
      <c r="A11" s="17">
        <v>6</v>
      </c>
      <c r="B11" s="43">
        <f>6*TOM_BASE_HRS*WEEKS*(1+TOM_DIM_PCT)^6</f>
        <v>956.64294000000041</v>
      </c>
      <c r="C11" s="35">
        <f t="shared" si="5"/>
        <v>231.91344000000015</v>
      </c>
      <c r="D11" s="44">
        <f t="shared" si="0"/>
        <v>4575.3502320992056</v>
      </c>
      <c r="E11" s="45">
        <f t="shared" si="1"/>
        <v>880</v>
      </c>
      <c r="F11" s="46">
        <f t="shared" si="2"/>
        <v>5455.3502320992056</v>
      </c>
      <c r="G11" s="47">
        <f t="shared" si="3"/>
        <v>8800</v>
      </c>
      <c r="H11" s="46">
        <f t="shared" si="4"/>
        <v>3344.6497679007944</v>
      </c>
    </row>
    <row r="12" spans="1:8" ht="14.4" x14ac:dyDescent="0.2">
      <c r="A12" s="36">
        <v>7</v>
      </c>
      <c r="B12" s="37">
        <f>7*TOM_BASE_HRS*WEEKS*(1+TOM_DIM_PCT)^7</f>
        <v>1227.6917730000007</v>
      </c>
      <c r="C12" s="38">
        <f t="shared" si="5"/>
        <v>271.04883300000029</v>
      </c>
      <c r="D12" s="39">
        <f t="shared" si="0"/>
        <v>5347.4405837659478</v>
      </c>
      <c r="E12" s="40">
        <f t="shared" si="1"/>
        <v>880</v>
      </c>
      <c r="F12" s="41">
        <f t="shared" si="2"/>
        <v>6227.4405837659478</v>
      </c>
      <c r="G12" s="42">
        <f t="shared" si="3"/>
        <v>8800</v>
      </c>
      <c r="H12" s="41">
        <f t="shared" si="4"/>
        <v>2572.5594162340522</v>
      </c>
    </row>
    <row r="13" spans="1:8" ht="14.4" x14ac:dyDescent="0.2">
      <c r="A13" s="17">
        <v>8</v>
      </c>
      <c r="B13" s="43">
        <f>8*TOM_BASE_HRS*WEEKS*(1+TOM_DIM_PCT)^8</f>
        <v>1543.3839432000009</v>
      </c>
      <c r="C13" s="35">
        <f t="shared" si="5"/>
        <v>315.69217020000019</v>
      </c>
      <c r="D13" s="44">
        <f t="shared" si="0"/>
        <v>6228.195503445043</v>
      </c>
      <c r="E13" s="45">
        <f t="shared" si="1"/>
        <v>880</v>
      </c>
      <c r="F13" s="46">
        <f t="shared" si="2"/>
        <v>7108.195503445043</v>
      </c>
      <c r="G13" s="47">
        <f t="shared" si="3"/>
        <v>8800</v>
      </c>
      <c r="H13" s="46">
        <f t="shared" si="4"/>
        <v>1691.804496554957</v>
      </c>
    </row>
    <row r="14" spans="1:8" ht="14.4" x14ac:dyDescent="0.2">
      <c r="A14" s="36">
        <v>9</v>
      </c>
      <c r="B14" s="37">
        <f>9*TOM_BASE_HRS*WEEKS*(1+TOM_DIM_PCT)^9</f>
        <v>1909.9376297100011</v>
      </c>
      <c r="C14" s="38">
        <f t="shared" si="5"/>
        <v>366.55368651000026</v>
      </c>
      <c r="D14" s="39">
        <f t="shared" si="0"/>
        <v>7231.6270012223004</v>
      </c>
      <c r="E14" s="40">
        <f t="shared" si="1"/>
        <v>880</v>
      </c>
      <c r="F14" s="41">
        <f t="shared" si="2"/>
        <v>8111.6270012223004</v>
      </c>
      <c r="G14" s="42">
        <f t="shared" si="3"/>
        <v>8800</v>
      </c>
      <c r="H14" s="41">
        <f t="shared" si="4"/>
        <v>688.37299877769965</v>
      </c>
    </row>
    <row r="15" spans="1:8" ht="14.4" x14ac:dyDescent="0.2">
      <c r="A15" s="17">
        <v>10</v>
      </c>
      <c r="B15" s="43">
        <f>10*TOM_BASE_HRS*WEEKS*(1+TOM_DIM_PCT)^10</f>
        <v>2334.3682140900019</v>
      </c>
      <c r="C15" s="35">
        <f t="shared" si="5"/>
        <v>424.43058438000071</v>
      </c>
      <c r="D15" s="44">
        <f t="shared" si="0"/>
        <v>8373.4628435205668</v>
      </c>
      <c r="E15" s="45">
        <f t="shared" si="1"/>
        <v>880</v>
      </c>
      <c r="F15" s="46">
        <f t="shared" si="2"/>
        <v>9253.4628435205668</v>
      </c>
      <c r="G15" s="47">
        <f t="shared" si="3"/>
        <v>8800</v>
      </c>
      <c r="H15" s="46">
        <f t="shared" si="4"/>
        <v>-453.46284352056682</v>
      </c>
    </row>
    <row r="16" spans="1:8" ht="14.4" x14ac:dyDescent="0.2">
      <c r="A16" s="36">
        <v>11</v>
      </c>
      <c r="B16" s="37">
        <f>11*TOM_BASE_HRS*WEEKS*(1+TOM_DIM_PCT)^11</f>
        <v>2824.5855390489023</v>
      </c>
      <c r="C16" s="38">
        <f t="shared" si="5"/>
        <v>490.21732495890046</v>
      </c>
      <c r="D16" s="39">
        <f t="shared" si="0"/>
        <v>9671.3495842662469</v>
      </c>
      <c r="E16" s="40">
        <f t="shared" si="1"/>
        <v>880</v>
      </c>
      <c r="F16" s="41">
        <f t="shared" si="2"/>
        <v>10551.349584266247</v>
      </c>
      <c r="G16" s="42">
        <f t="shared" si="3"/>
        <v>8800</v>
      </c>
      <c r="H16" s="41">
        <f t="shared" si="4"/>
        <v>-1751.3495842662469</v>
      </c>
    </row>
    <row r="17" spans="1:8" ht="14.4" x14ac:dyDescent="0.2">
      <c r="A17" s="17">
        <v>12</v>
      </c>
      <c r="B17" s="43">
        <f>12*TOM_BASE_HRS*WEEKS*(1+TOM_DIM_PCT)^12</f>
        <v>3389.502646858683</v>
      </c>
      <c r="C17" s="35">
        <f t="shared" si="5"/>
        <v>564.91710780978065</v>
      </c>
      <c r="D17" s="44">
        <f t="shared" si="0"/>
        <v>11145.079044725868</v>
      </c>
      <c r="E17" s="45">
        <f t="shared" si="1"/>
        <v>880</v>
      </c>
      <c r="F17" s="46">
        <f t="shared" si="2"/>
        <v>12025.079044725868</v>
      </c>
      <c r="G17" s="47">
        <f t="shared" si="3"/>
        <v>8800</v>
      </c>
      <c r="H17" s="46">
        <f t="shared" si="4"/>
        <v>-3225.0790447258678</v>
      </c>
    </row>
    <row r="18" spans="1:8" ht="14.4" x14ac:dyDescent="0.2">
      <c r="A18" s="36">
        <v>13</v>
      </c>
      <c r="B18" s="37">
        <f>13*TOM_BASE_HRS*WEEKS*(1+TOM_DIM_PCT)^13</f>
        <v>4039.1573208399304</v>
      </c>
      <c r="C18" s="38">
        <f t="shared" si="5"/>
        <v>649.65467398124747</v>
      </c>
      <c r="D18" s="39">
        <f t="shared" si="0"/>
        <v>12816.840901434744</v>
      </c>
      <c r="E18" s="40">
        <f t="shared" si="1"/>
        <v>880</v>
      </c>
      <c r="F18" s="41">
        <f t="shared" si="2"/>
        <v>13696.840901434744</v>
      </c>
      <c r="G18" s="42">
        <f t="shared" si="3"/>
        <v>8800</v>
      </c>
      <c r="H18" s="41">
        <f t="shared" si="4"/>
        <v>-4896.8409014347435</v>
      </c>
    </row>
    <row r="19" spans="1:8" ht="14.4" x14ac:dyDescent="0.2">
      <c r="A19" s="17">
        <v>14</v>
      </c>
      <c r="B19" s="43">
        <f>14*TOM_BASE_HRS*WEEKS*(1+TOM_DIM_PCT)^14</f>
        <v>4784.8479031488414</v>
      </c>
      <c r="C19" s="35">
        <f t="shared" si="5"/>
        <v>745.69058230891096</v>
      </c>
      <c r="D19" s="44">
        <f t="shared" si="0"/>
        <v>14711.504339038156</v>
      </c>
      <c r="E19" s="45">
        <f t="shared" si="1"/>
        <v>880</v>
      </c>
      <c r="F19" s="46">
        <f t="shared" si="2"/>
        <v>15591.504339038156</v>
      </c>
      <c r="G19" s="47">
        <f t="shared" si="3"/>
        <v>8800</v>
      </c>
      <c r="H19" s="46">
        <f t="shared" si="4"/>
        <v>-6791.5043390381561</v>
      </c>
    </row>
    <row r="20" spans="1:8" ht="14.4" x14ac:dyDescent="0.2">
      <c r="A20" s="36">
        <v>15</v>
      </c>
      <c r="B20" s="37">
        <f>15*TOM_BASE_HRS*WEEKS*(1+TOM_DIM_PCT)^15</f>
        <v>5639.2850287111351</v>
      </c>
      <c r="C20" s="38">
        <f t="shared" si="5"/>
        <v>854.43712556229366</v>
      </c>
      <c r="D20" s="39">
        <f t="shared" si="0"/>
        <v>16856.932055147885</v>
      </c>
      <c r="E20" s="40">
        <f t="shared" si="1"/>
        <v>880</v>
      </c>
      <c r="F20" s="41">
        <f t="shared" si="2"/>
        <v>17736.932055147885</v>
      </c>
      <c r="G20" s="42">
        <f t="shared" si="3"/>
        <v>8800</v>
      </c>
      <c r="H20" s="41">
        <f t="shared" si="4"/>
        <v>-8936.932055147885</v>
      </c>
    </row>
    <row r="21" spans="1:8" ht="14.4" x14ac:dyDescent="0.2">
      <c r="A21" s="17">
        <v>16</v>
      </c>
      <c r="B21" s="43">
        <f>16*TOM_BASE_HRS*WEEKS*(1+TOM_DIM_PCT)^16</f>
        <v>6616.761100354398</v>
      </c>
      <c r="C21" s="35">
        <f t="shared" si="5"/>
        <v>977.47607164326291</v>
      </c>
      <c r="D21" s="44">
        <f t="shared" si="0"/>
        <v>19284.330271089158</v>
      </c>
      <c r="E21" s="45">
        <f t="shared" si="1"/>
        <v>880</v>
      </c>
      <c r="F21" s="46">
        <f t="shared" si="2"/>
        <v>20164.330271089158</v>
      </c>
      <c r="G21" s="47">
        <f t="shared" si="3"/>
        <v>8800</v>
      </c>
      <c r="H21" s="46">
        <f t="shared" si="4"/>
        <v>-11364.330271089158</v>
      </c>
    </row>
    <row r="22" spans="1:8" ht="14.4" x14ac:dyDescent="0.2">
      <c r="A22" s="36">
        <v>17</v>
      </c>
      <c r="B22" s="37">
        <f>17*TOM_BASE_HRS*WEEKS*(1+TOM_DIM_PCT)^17</f>
        <v>7733.3395360392033</v>
      </c>
      <c r="C22" s="38">
        <f t="shared" si="5"/>
        <v>1116.5784356848053</v>
      </c>
      <c r="D22" s="39">
        <f t="shared" si="0"/>
        <v>22028.638809667253</v>
      </c>
      <c r="E22" s="40">
        <f t="shared" si="1"/>
        <v>880</v>
      </c>
      <c r="F22" s="41">
        <f t="shared" si="2"/>
        <v>22908.638809667253</v>
      </c>
      <c r="G22" s="42">
        <f t="shared" si="3"/>
        <v>8800</v>
      </c>
      <c r="H22" s="41">
        <f t="shared" si="4"/>
        <v>-14108.638809667253</v>
      </c>
    </row>
    <row r="23" spans="1:8" ht="14.4" x14ac:dyDescent="0.2">
      <c r="A23" s="17">
        <v>18</v>
      </c>
      <c r="B23" s="43">
        <f>18*TOM_BASE_HRS*WEEKS*(1+TOM_DIM_PCT)^18</f>
        <v>9007.0660478574246</v>
      </c>
      <c r="C23" s="35">
        <f t="shared" si="5"/>
        <v>1273.7265118182213</v>
      </c>
      <c r="D23" s="44">
        <f t="shared" si="0"/>
        <v>25128.965753250031</v>
      </c>
      <c r="E23" s="45">
        <f t="shared" si="1"/>
        <v>880</v>
      </c>
      <c r="F23" s="46">
        <f t="shared" si="2"/>
        <v>26008.965753250031</v>
      </c>
      <c r="G23" s="47">
        <f t="shared" si="3"/>
        <v>8800</v>
      </c>
      <c r="H23" s="46">
        <f t="shared" si="4"/>
        <v>-17208.965753250031</v>
      </c>
    </row>
    <row r="24" spans="1:8" ht="14.4" x14ac:dyDescent="0.2">
      <c r="A24" s="36">
        <v>19</v>
      </c>
      <c r="B24" s="37">
        <f>19*TOM_BASE_HRS*WEEKS*(1+TOM_DIM_PCT)^19</f>
        <v>10458.204466678902</v>
      </c>
      <c r="C24" s="38">
        <f t="shared" si="5"/>
        <v>1451.1384188214779</v>
      </c>
      <c r="D24" s="39">
        <f t="shared" si="0"/>
        <v>28629.0716974528</v>
      </c>
      <c r="E24" s="40">
        <f t="shared" si="1"/>
        <v>880</v>
      </c>
      <c r="F24" s="41">
        <f t="shared" si="2"/>
        <v>29509.0716974528</v>
      </c>
      <c r="G24" s="42">
        <f t="shared" si="3"/>
        <v>8800</v>
      </c>
      <c r="H24" s="41">
        <f t="shared" si="4"/>
        <v>-20709.0716974528</v>
      </c>
    </row>
    <row r="25" spans="1:8" ht="14.4" x14ac:dyDescent="0.2">
      <c r="A25" s="17">
        <v>20</v>
      </c>
      <c r="B25" s="43">
        <f>20*TOM_BASE_HRS*WEEKS*(1+TOM_DIM_PCT)^20</f>
        <v>12109.499908786096</v>
      </c>
      <c r="C25" s="35">
        <f t="shared" si="5"/>
        <v>1651.2954421071936</v>
      </c>
      <c r="D25" s="44">
        <f t="shared" si="0"/>
        <v>32577.909172963424</v>
      </c>
      <c r="E25" s="45">
        <f t="shared" si="1"/>
        <v>880</v>
      </c>
      <c r="F25" s="46">
        <f t="shared" si="2"/>
        <v>33457.909172963424</v>
      </c>
      <c r="G25" s="47">
        <f t="shared" si="3"/>
        <v>8800</v>
      </c>
      <c r="H25" s="46">
        <f t="shared" si="4"/>
        <v>-24657.909172963424</v>
      </c>
    </row>
    <row r="27" spans="1:8" ht="15.6" x14ac:dyDescent="0.2">
      <c r="A27" s="57" t="s">
        <v>148</v>
      </c>
      <c r="B27" s="55"/>
      <c r="C27" s="55"/>
      <c r="D27" s="55"/>
      <c r="E27" s="55"/>
      <c r="F27" s="55"/>
      <c r="G27" s="55"/>
      <c r="H27" s="55"/>
    </row>
    <row r="28" spans="1:8" ht="14.4" x14ac:dyDescent="0.2">
      <c r="A28" s="1" t="s">
        <v>140</v>
      </c>
      <c r="B28" s="1" t="s">
        <v>141</v>
      </c>
      <c r="C28" s="1" t="s">
        <v>142</v>
      </c>
      <c r="D28" s="1" t="s">
        <v>143</v>
      </c>
      <c r="E28" s="1" t="s">
        <v>144</v>
      </c>
      <c r="F28" s="1" t="s">
        <v>145</v>
      </c>
      <c r="G28" s="1" t="s">
        <v>146</v>
      </c>
      <c r="H28" s="1" t="s">
        <v>147</v>
      </c>
    </row>
    <row r="29" spans="1:8" ht="14.4" x14ac:dyDescent="0.2">
      <c r="A29" s="36">
        <v>1</v>
      </c>
      <c r="B29" s="37">
        <f>1*CAR_BASE_HRS*WEEKS*(1+CAR_DIM_PCT)^1</f>
        <v>30.737699999999997</v>
      </c>
      <c r="C29" s="38">
        <f>B29</f>
        <v>30.737699999999997</v>
      </c>
      <c r="D29" s="39">
        <f t="shared" ref="D29:D48" si="6">C29*BLENDED_LABOR_RATE</f>
        <v>606.41480213132809</v>
      </c>
      <c r="E29" s="40">
        <f t="shared" ref="E29:E48" si="7">CAR_FERT</f>
        <v>440</v>
      </c>
      <c r="F29" s="41">
        <f t="shared" ref="F29:F48" si="8">D29+E29</f>
        <v>1046.4148021313281</v>
      </c>
      <c r="G29" s="42">
        <f t="shared" ref="G29:G48" si="9">CAR_PRICE</f>
        <v>2094</v>
      </c>
      <c r="H29" s="41">
        <f t="shared" ref="H29:H48" si="10">G29-F29</f>
        <v>1047.5851978686719</v>
      </c>
    </row>
    <row r="30" spans="1:8" ht="14.4" x14ac:dyDescent="0.2">
      <c r="A30" s="17">
        <v>2</v>
      </c>
      <c r="B30" s="43">
        <f>2*CAR_BASE_HRS*WEEKS*(1+CAR_DIM_PCT)^2</f>
        <v>63.012284999999991</v>
      </c>
      <c r="C30" s="35">
        <f t="shared" ref="C30:C48" si="11">B30-B29</f>
        <v>32.274584999999995</v>
      </c>
      <c r="D30" s="44">
        <f t="shared" si="6"/>
        <v>636.73554223789449</v>
      </c>
      <c r="E30" s="45">
        <f t="shared" si="7"/>
        <v>440</v>
      </c>
      <c r="F30" s="46">
        <f t="shared" si="8"/>
        <v>1076.7355422378946</v>
      </c>
      <c r="G30" s="47">
        <f t="shared" si="9"/>
        <v>2094</v>
      </c>
      <c r="H30" s="46">
        <f t="shared" si="10"/>
        <v>1017.2644577621054</v>
      </c>
    </row>
    <row r="31" spans="1:8" ht="14.4" x14ac:dyDescent="0.2">
      <c r="A31" s="36">
        <v>3</v>
      </c>
      <c r="B31" s="37">
        <f>3*CAR_BASE_HRS*WEEKS*(1+CAR_DIM_PCT)^3</f>
        <v>96.881388187499979</v>
      </c>
      <c r="C31" s="38">
        <f t="shared" si="11"/>
        <v>33.869103187499988</v>
      </c>
      <c r="D31" s="39">
        <f t="shared" si="6"/>
        <v>668.193310098457</v>
      </c>
      <c r="E31" s="40">
        <f t="shared" si="7"/>
        <v>440</v>
      </c>
      <c r="F31" s="41">
        <f t="shared" si="8"/>
        <v>1108.193310098457</v>
      </c>
      <c r="G31" s="42">
        <f t="shared" si="9"/>
        <v>2094</v>
      </c>
      <c r="H31" s="41">
        <f t="shared" si="10"/>
        <v>985.806689901543</v>
      </c>
    </row>
    <row r="32" spans="1:8" ht="14.4" x14ac:dyDescent="0.2">
      <c r="A32" s="17">
        <v>4</v>
      </c>
      <c r="B32" s="43">
        <f>4*CAR_BASE_HRS*WEEKS*(1+CAR_DIM_PCT)^4</f>
        <v>132.40456385624998</v>
      </c>
      <c r="C32" s="35">
        <f t="shared" si="11"/>
        <v>35.52317566875</v>
      </c>
      <c r="D32" s="44">
        <f t="shared" si="6"/>
        <v>700.82600663814935</v>
      </c>
      <c r="E32" s="45">
        <f t="shared" si="7"/>
        <v>440</v>
      </c>
      <c r="F32" s="46">
        <f t="shared" si="8"/>
        <v>1140.8260066381495</v>
      </c>
      <c r="G32" s="47">
        <f t="shared" si="9"/>
        <v>2094</v>
      </c>
      <c r="H32" s="46">
        <f t="shared" si="10"/>
        <v>953.17399336185053</v>
      </c>
    </row>
    <row r="33" spans="1:8" ht="14.4" x14ac:dyDescent="0.2">
      <c r="A33" s="36">
        <v>5</v>
      </c>
      <c r="B33" s="37">
        <f>5*CAR_BASE_HRS*WEEKS*(1+CAR_DIM_PCT)^5</f>
        <v>169.64334744082026</v>
      </c>
      <c r="C33" s="38">
        <f t="shared" si="11"/>
        <v>37.238783584570285</v>
      </c>
      <c r="D33" s="39">
        <f t="shared" si="6"/>
        <v>734.67271718601398</v>
      </c>
      <c r="E33" s="40">
        <f t="shared" si="7"/>
        <v>440</v>
      </c>
      <c r="F33" s="41">
        <f t="shared" si="8"/>
        <v>1174.6727171860139</v>
      </c>
      <c r="G33" s="42">
        <f t="shared" si="9"/>
        <v>2094</v>
      </c>
      <c r="H33" s="41">
        <f t="shared" si="10"/>
        <v>919.32728281398613</v>
      </c>
    </row>
    <row r="34" spans="1:8" ht="14.4" x14ac:dyDescent="0.2">
      <c r="A34" s="17">
        <v>6</v>
      </c>
      <c r="B34" s="43">
        <f>6*CAR_BASE_HRS*WEEKS*(1+CAR_DIM_PCT)^6</f>
        <v>208.66131735220887</v>
      </c>
      <c r="C34" s="35">
        <f t="shared" si="11"/>
        <v>39.017969911388604</v>
      </c>
      <c r="D34" s="44">
        <f t="shared" si="6"/>
        <v>769.77374700712278</v>
      </c>
      <c r="E34" s="45">
        <f t="shared" si="7"/>
        <v>440</v>
      </c>
      <c r="F34" s="46">
        <f t="shared" si="8"/>
        <v>1209.7737470071229</v>
      </c>
      <c r="G34" s="47">
        <f t="shared" si="9"/>
        <v>2094</v>
      </c>
      <c r="H34" s="46">
        <f t="shared" si="10"/>
        <v>884.22625299287711</v>
      </c>
    </row>
    <row r="35" spans="1:8" ht="14.4" x14ac:dyDescent="0.2">
      <c r="A35" s="36">
        <v>7</v>
      </c>
      <c r="B35" s="37">
        <f>7*CAR_BASE_HRS*WEEKS*(1+CAR_DIM_PCT)^7</f>
        <v>249.52415866701648</v>
      </c>
      <c r="C35" s="38">
        <f t="shared" si="11"/>
        <v>40.862841314807611</v>
      </c>
      <c r="D35" s="39">
        <f t="shared" si="6"/>
        <v>806.17065787104821</v>
      </c>
      <c r="E35" s="40">
        <f t="shared" si="7"/>
        <v>440</v>
      </c>
      <c r="F35" s="41">
        <f t="shared" si="8"/>
        <v>1246.1706578710482</v>
      </c>
      <c r="G35" s="42">
        <f t="shared" si="9"/>
        <v>2094</v>
      </c>
      <c r="H35" s="41">
        <f t="shared" si="10"/>
        <v>847.82934212895179</v>
      </c>
    </row>
    <row r="36" spans="1:8" ht="14.4" x14ac:dyDescent="0.2">
      <c r="A36" s="17">
        <v>8</v>
      </c>
      <c r="B36" s="43">
        <f>8*CAR_BASE_HRS*WEEKS*(1+CAR_DIM_PCT)^8</f>
        <v>292.29972872421928</v>
      </c>
      <c r="C36" s="35">
        <f t="shared" si="11"/>
        <v>42.775570057202799</v>
      </c>
      <c r="D36" s="44">
        <f t="shared" si="6"/>
        <v>843.90630568628762</v>
      </c>
      <c r="E36" s="45">
        <f t="shared" si="7"/>
        <v>440</v>
      </c>
      <c r="F36" s="46">
        <f t="shared" si="8"/>
        <v>1283.9063056862876</v>
      </c>
      <c r="G36" s="47">
        <f t="shared" si="9"/>
        <v>2094</v>
      </c>
      <c r="H36" s="46">
        <f t="shared" si="10"/>
        <v>810.09369431371238</v>
      </c>
    </row>
    <row r="37" spans="1:8" ht="14.4" x14ac:dyDescent="0.2">
      <c r="A37" s="36">
        <v>9</v>
      </c>
      <c r="B37" s="37">
        <f>9*CAR_BASE_HRS*WEEKS*(1+CAR_DIM_PCT)^9</f>
        <v>337.05812468511533</v>
      </c>
      <c r="C37" s="38">
        <f t="shared" si="11"/>
        <v>44.758395960896053</v>
      </c>
      <c r="D37" s="39">
        <f t="shared" si="6"/>
        <v>883.02487923112062</v>
      </c>
      <c r="E37" s="40">
        <f t="shared" si="7"/>
        <v>440</v>
      </c>
      <c r="F37" s="41">
        <f t="shared" si="8"/>
        <v>1323.0248792311206</v>
      </c>
      <c r="G37" s="42">
        <f t="shared" si="9"/>
        <v>2094</v>
      </c>
      <c r="H37" s="41">
        <f t="shared" si="10"/>
        <v>770.97512076887938</v>
      </c>
    </row>
    <row r="38" spans="1:8" ht="14.4" x14ac:dyDescent="0.2">
      <c r="A38" s="17">
        <v>10</v>
      </c>
      <c r="B38" s="43">
        <f>10*CAR_BASE_HRS*WEEKS*(1+CAR_DIM_PCT)^10</f>
        <v>383.87175311360357</v>
      </c>
      <c r="C38" s="35">
        <f t="shared" si="11"/>
        <v>46.813628428488244</v>
      </c>
      <c r="D38" s="44">
        <f t="shared" si="6"/>
        <v>923.57194001214202</v>
      </c>
      <c r="E38" s="45">
        <f t="shared" si="7"/>
        <v>440</v>
      </c>
      <c r="F38" s="46">
        <f t="shared" si="8"/>
        <v>1363.571940012142</v>
      </c>
      <c r="G38" s="47">
        <f t="shared" si="9"/>
        <v>2094</v>
      </c>
      <c r="H38" s="46">
        <f t="shared" si="10"/>
        <v>730.42805998785798</v>
      </c>
    </row>
    <row r="39" spans="1:8" ht="14.4" x14ac:dyDescent="0.2">
      <c r="A39" s="36">
        <v>11</v>
      </c>
      <c r="B39" s="37">
        <f>11*CAR_BASE_HRS*WEEKS*(1+CAR_DIM_PCT)^11</f>
        <v>432.81540163558799</v>
      </c>
      <c r="C39" s="38">
        <f t="shared" si="11"/>
        <v>48.943648521984414</v>
      </c>
      <c r="D39" s="39">
        <f t="shared" si="6"/>
        <v>965.5944632826936</v>
      </c>
      <c r="E39" s="40">
        <f t="shared" si="7"/>
        <v>440</v>
      </c>
      <c r="F39" s="41">
        <f t="shared" si="8"/>
        <v>1405.5944632826936</v>
      </c>
      <c r="G39" s="42">
        <f t="shared" si="9"/>
        <v>2094</v>
      </c>
      <c r="H39" s="41">
        <f t="shared" si="10"/>
        <v>688.4055367173064</v>
      </c>
    </row>
    <row r="40" spans="1:8" ht="14.4" x14ac:dyDescent="0.2">
      <c r="A40" s="17">
        <v>12</v>
      </c>
      <c r="B40" s="43">
        <f>12*CAR_BASE_HRS*WEEKS*(1+CAR_DIM_PCT)^12</f>
        <v>483.96631273797556</v>
      </c>
      <c r="C40" s="35">
        <f t="shared" si="11"/>
        <v>51.150911102387568</v>
      </c>
      <c r="D40" s="44">
        <f t="shared" si="6"/>
        <v>1009.1408802542647</v>
      </c>
      <c r="E40" s="45">
        <f t="shared" si="7"/>
        <v>440</v>
      </c>
      <c r="F40" s="46">
        <f t="shared" si="8"/>
        <v>1449.1408802542646</v>
      </c>
      <c r="G40" s="47">
        <f t="shared" si="9"/>
        <v>2094</v>
      </c>
      <c r="H40" s="46">
        <f t="shared" si="10"/>
        <v>644.85911974573537</v>
      </c>
    </row>
    <row r="41" spans="1:8" ht="14.4" x14ac:dyDescent="0.2">
      <c r="A41" s="36">
        <v>13</v>
      </c>
      <c r="B41" s="37">
        <f>13*CAR_BASE_HRS*WEEKS*(1+CAR_DIM_PCT)^13</f>
        <v>537.4042597694604</v>
      </c>
      <c r="C41" s="38">
        <f t="shared" si="11"/>
        <v>53.437947031484839</v>
      </c>
      <c r="D41" s="39">
        <f t="shared" si="6"/>
        <v>1054.2611215348668</v>
      </c>
      <c r="E41" s="40">
        <f t="shared" si="7"/>
        <v>440</v>
      </c>
      <c r="F41" s="41">
        <f t="shared" si="8"/>
        <v>1494.2611215348668</v>
      </c>
      <c r="G41" s="42">
        <f t="shared" si="9"/>
        <v>2094</v>
      </c>
      <c r="H41" s="41">
        <f t="shared" si="10"/>
        <v>599.73887846513321</v>
      </c>
    </row>
    <row r="42" spans="1:8" ht="14.4" x14ac:dyDescent="0.2">
      <c r="A42" s="17">
        <v>14</v>
      </c>
      <c r="B42" s="43">
        <f>14*CAR_BASE_HRS*WEEKS*(1+CAR_DIM_PCT)^14</f>
        <v>593.2116252070582</v>
      </c>
      <c r="C42" s="35">
        <f t="shared" si="11"/>
        <v>55.807365437597809</v>
      </c>
      <c r="D42" s="44">
        <f t="shared" si="6"/>
        <v>1101.0066618293365</v>
      </c>
      <c r="E42" s="45">
        <f t="shared" si="7"/>
        <v>440</v>
      </c>
      <c r="F42" s="46">
        <f t="shared" si="8"/>
        <v>1541.0066618293365</v>
      </c>
      <c r="G42" s="47">
        <f t="shared" si="9"/>
        <v>2094</v>
      </c>
      <c r="H42" s="46">
        <f t="shared" si="10"/>
        <v>552.99333817066349</v>
      </c>
    </row>
    <row r="43" spans="1:8" ht="14.4" x14ac:dyDescent="0.2">
      <c r="A43" s="36">
        <v>15</v>
      </c>
      <c r="B43" s="37">
        <f>15*CAR_BASE_HRS*WEEKS*(1+CAR_DIM_PCT)^15</f>
        <v>651.47348125418</v>
      </c>
      <c r="C43" s="38">
        <f t="shared" si="11"/>
        <v>58.261856047121796</v>
      </c>
      <c r="D43" s="39">
        <f t="shared" si="6"/>
        <v>1149.4305659375714</v>
      </c>
      <c r="E43" s="40">
        <f t="shared" si="7"/>
        <v>440</v>
      </c>
      <c r="F43" s="41">
        <f t="shared" si="8"/>
        <v>1589.4305659375714</v>
      </c>
      <c r="G43" s="42">
        <f t="shared" si="9"/>
        <v>2094</v>
      </c>
      <c r="H43" s="41">
        <f t="shared" si="10"/>
        <v>504.56943406242863</v>
      </c>
    </row>
    <row r="44" spans="1:8" ht="14.4" x14ac:dyDescent="0.2">
      <c r="A44" s="17">
        <v>16</v>
      </c>
      <c r="B44" s="43">
        <f>16*CAR_BASE_HRS*WEEKS*(1+CAR_DIM_PCT)^16</f>
        <v>712.27767283790342</v>
      </c>
      <c r="C44" s="35">
        <f t="shared" si="11"/>
        <v>60.804191583723423</v>
      </c>
      <c r="D44" s="44">
        <f t="shared" si="6"/>
        <v>1199.5875360875737</v>
      </c>
      <c r="E44" s="45">
        <f t="shared" si="7"/>
        <v>440</v>
      </c>
      <c r="F44" s="46">
        <f t="shared" si="8"/>
        <v>1639.5875360875737</v>
      </c>
      <c r="G44" s="47">
        <f t="shared" si="9"/>
        <v>2094</v>
      </c>
      <c r="H44" s="46">
        <f t="shared" si="10"/>
        <v>454.41246391242635</v>
      </c>
    </row>
    <row r="45" spans="1:8" ht="14.4" x14ac:dyDescent="0.2">
      <c r="A45" s="36">
        <v>17</v>
      </c>
      <c r="B45" s="37">
        <f>17*CAR_BASE_HRS*WEEKS*(1+CAR_DIM_PCT)^17</f>
        <v>775.71490307502916</v>
      </c>
      <c r="C45" s="38">
        <f t="shared" si="11"/>
        <v>63.437230237125732</v>
      </c>
      <c r="D45" s="39">
        <f t="shared" si="6"/>
        <v>1251.5339606413659</v>
      </c>
      <c r="E45" s="40">
        <f t="shared" si="7"/>
        <v>440</v>
      </c>
      <c r="F45" s="41">
        <f t="shared" si="8"/>
        <v>1691.5339606413659</v>
      </c>
      <c r="G45" s="42">
        <f t="shared" si="9"/>
        <v>2094</v>
      </c>
      <c r="H45" s="41">
        <f t="shared" si="10"/>
        <v>402.46603935863413</v>
      </c>
    </row>
    <row r="46" spans="1:8" ht="14.4" x14ac:dyDescent="0.2">
      <c r="A46" s="17">
        <v>18</v>
      </c>
      <c r="B46" s="43">
        <f>18*CAR_BASE_HRS*WEEKS*(1+CAR_DIM_PCT)^18</f>
        <v>841.87882127848752</v>
      </c>
      <c r="C46" s="35">
        <f t="shared" si="11"/>
        <v>66.163918203458365</v>
      </c>
      <c r="D46" s="44">
        <f t="shared" si="6"/>
        <v>1305.3279642127936</v>
      </c>
      <c r="E46" s="45">
        <f t="shared" si="7"/>
        <v>440</v>
      </c>
      <c r="F46" s="46">
        <f t="shared" si="8"/>
        <v>1745.3279642127936</v>
      </c>
      <c r="G46" s="47">
        <f t="shared" si="9"/>
        <v>2094</v>
      </c>
      <c r="H46" s="46">
        <f t="shared" si="10"/>
        <v>348.67203578720637</v>
      </c>
    </row>
    <row r="47" spans="1:8" ht="14.4" x14ac:dyDescent="0.2">
      <c r="A47" s="36">
        <v>19</v>
      </c>
      <c r="B47" s="37">
        <f>19*CAR_BASE_HRS*WEEKS*(1+CAR_DIM_PCT)^19</f>
        <v>910.86611357769698</v>
      </c>
      <c r="C47" s="38">
        <f t="shared" si="11"/>
        <v>68.987292299209457</v>
      </c>
      <c r="D47" s="39">
        <f t="shared" si="6"/>
        <v>1361.0294592373925</v>
      </c>
      <c r="E47" s="40">
        <f t="shared" si="7"/>
        <v>440</v>
      </c>
      <c r="F47" s="41">
        <f t="shared" si="8"/>
        <v>1801.0294592373925</v>
      </c>
      <c r="G47" s="42">
        <f t="shared" si="9"/>
        <v>2094</v>
      </c>
      <c r="H47" s="41">
        <f t="shared" si="10"/>
        <v>292.97054076260747</v>
      </c>
    </row>
    <row r="48" spans="1:8" ht="14.4" x14ac:dyDescent="0.2">
      <c r="A48" s="17">
        <v>20</v>
      </c>
      <c r="B48" s="43">
        <f>20*CAR_BASE_HRS*WEEKS*(1+CAR_DIM_PCT)^20</f>
        <v>982.77659622856766</v>
      </c>
      <c r="C48" s="35">
        <f t="shared" si="11"/>
        <v>71.910482650870676</v>
      </c>
      <c r="D48" s="44">
        <f t="shared" si="6"/>
        <v>1418.7001990355834</v>
      </c>
      <c r="E48" s="45">
        <f t="shared" si="7"/>
        <v>440</v>
      </c>
      <c r="F48" s="46">
        <f t="shared" si="8"/>
        <v>1858.7001990355834</v>
      </c>
      <c r="G48" s="47">
        <f t="shared" si="9"/>
        <v>2094</v>
      </c>
      <c r="H48" s="46">
        <f t="shared" si="10"/>
        <v>235.29980096441659</v>
      </c>
    </row>
    <row r="50" spans="1:8" ht="15.6" x14ac:dyDescent="0.2">
      <c r="A50" s="57" t="s">
        <v>149</v>
      </c>
      <c r="B50" s="55"/>
      <c r="C50" s="55"/>
      <c r="D50" s="55"/>
      <c r="E50" s="55"/>
      <c r="F50" s="55"/>
      <c r="G50" s="55"/>
      <c r="H50" s="55"/>
    </row>
    <row r="51" spans="1:8" ht="14.4" x14ac:dyDescent="0.2">
      <c r="A51" s="1" t="s">
        <v>140</v>
      </c>
      <c r="B51" s="1" t="s">
        <v>141</v>
      </c>
      <c r="C51" s="1" t="s">
        <v>142</v>
      </c>
      <c r="D51" s="1" t="s">
        <v>143</v>
      </c>
      <c r="E51" s="1" t="s">
        <v>144</v>
      </c>
      <c r="F51" s="1" t="s">
        <v>145</v>
      </c>
      <c r="G51" s="1" t="s">
        <v>146</v>
      </c>
      <c r="H51" s="1" t="s">
        <v>147</v>
      </c>
    </row>
    <row r="52" spans="1:8" ht="14.4" x14ac:dyDescent="0.2">
      <c r="A52" s="36">
        <v>1</v>
      </c>
      <c r="B52" s="37">
        <f>1*MES_BASE_HRS*WEEKS*(1+MES_DIM_PCT)^1</f>
        <v>45.5625</v>
      </c>
      <c r="C52" s="38">
        <f>B52</f>
        <v>45.5625</v>
      </c>
      <c r="D52" s="39">
        <f t="shared" ref="D52:D81" si="12">C52*BLENDED_LABOR_RATE</f>
        <v>898.88880502147651</v>
      </c>
      <c r="E52" s="40">
        <f t="shared" ref="E52:E81" si="13">MES_FERT</f>
        <v>880</v>
      </c>
      <c r="F52" s="41">
        <f t="shared" ref="F52:F81" si="14">D52+E52</f>
        <v>1778.8888050214764</v>
      </c>
      <c r="G52" s="42">
        <f t="shared" ref="G52:G81" si="15">MES_PRICE</f>
        <v>2700</v>
      </c>
      <c r="H52" s="41">
        <f t="shared" ref="H52:H81" si="16">G52-F52</f>
        <v>921.1111949785236</v>
      </c>
    </row>
    <row r="53" spans="1:8" ht="14.4" x14ac:dyDescent="0.2">
      <c r="A53" s="17">
        <v>2</v>
      </c>
      <c r="B53" s="43">
        <f>2*MES_BASE_HRS*WEEKS*(1+MES_DIM_PCT)^2</f>
        <v>92.264062499999994</v>
      </c>
      <c r="C53" s="35">
        <f t="shared" ref="C53:C81" si="17">B53-B52</f>
        <v>46.701562499999994</v>
      </c>
      <c r="D53" s="44">
        <f t="shared" si="12"/>
        <v>921.36102514701338</v>
      </c>
      <c r="E53" s="45">
        <f t="shared" si="13"/>
        <v>880</v>
      </c>
      <c r="F53" s="46">
        <f t="shared" si="14"/>
        <v>1801.3610251470134</v>
      </c>
      <c r="G53" s="47">
        <f t="shared" si="15"/>
        <v>2700</v>
      </c>
      <c r="H53" s="46">
        <f t="shared" si="16"/>
        <v>898.63897485298662</v>
      </c>
    </row>
    <row r="54" spans="1:8" ht="14.4" x14ac:dyDescent="0.2">
      <c r="A54" s="36">
        <v>3</v>
      </c>
      <c r="B54" s="37">
        <f>3*MES_BASE_HRS*WEEKS*(1+MES_DIM_PCT)^3</f>
        <v>140.12604492187498</v>
      </c>
      <c r="C54" s="38">
        <f t="shared" si="17"/>
        <v>47.861982421874984</v>
      </c>
      <c r="D54" s="39">
        <f t="shared" si="12"/>
        <v>944.2545993999039</v>
      </c>
      <c r="E54" s="40">
        <f t="shared" si="13"/>
        <v>880</v>
      </c>
      <c r="F54" s="41">
        <f t="shared" si="14"/>
        <v>1824.2545993999038</v>
      </c>
      <c r="G54" s="42">
        <f t="shared" si="15"/>
        <v>2700</v>
      </c>
      <c r="H54" s="41">
        <f t="shared" si="16"/>
        <v>875.74540060009622</v>
      </c>
    </row>
    <row r="55" spans="1:8" ht="14.4" x14ac:dyDescent="0.2">
      <c r="A55" s="17">
        <v>4</v>
      </c>
      <c r="B55" s="43">
        <f>4*MES_BASE_HRS*WEEKS*(1+MES_DIM_PCT)^4</f>
        <v>189.17016064453125</v>
      </c>
      <c r="C55" s="35">
        <f t="shared" si="17"/>
        <v>49.044115722656272</v>
      </c>
      <c r="D55" s="44">
        <f t="shared" si="12"/>
        <v>967.57655034893844</v>
      </c>
      <c r="E55" s="45">
        <f t="shared" si="13"/>
        <v>880</v>
      </c>
      <c r="F55" s="46">
        <f t="shared" si="14"/>
        <v>1847.5765503489383</v>
      </c>
      <c r="G55" s="47">
        <f t="shared" si="15"/>
        <v>2700</v>
      </c>
      <c r="H55" s="46">
        <f t="shared" si="16"/>
        <v>852.42344965106167</v>
      </c>
    </row>
    <row r="56" spans="1:8" ht="14.4" x14ac:dyDescent="0.2">
      <c r="A56" s="36">
        <v>5</v>
      </c>
      <c r="B56" s="37">
        <f>5*MES_BASE_HRS*WEEKS*(1+MES_DIM_PCT)^5</f>
        <v>239.41848456573481</v>
      </c>
      <c r="C56" s="38">
        <f t="shared" si="17"/>
        <v>50.248323921203564</v>
      </c>
      <c r="D56" s="39">
        <f t="shared" si="12"/>
        <v>991.33401029054039</v>
      </c>
      <c r="E56" s="40">
        <f t="shared" si="13"/>
        <v>880</v>
      </c>
      <c r="F56" s="41">
        <f t="shared" si="14"/>
        <v>1871.3340102905404</v>
      </c>
      <c r="G56" s="42">
        <f t="shared" si="15"/>
        <v>2700</v>
      </c>
      <c r="H56" s="41">
        <f t="shared" si="16"/>
        <v>828.66598970945961</v>
      </c>
    </row>
    <row r="57" spans="1:8" ht="14.4" x14ac:dyDescent="0.2">
      <c r="A57" s="17">
        <v>6</v>
      </c>
      <c r="B57" s="43">
        <f>6*MES_BASE_HRS*WEEKS*(1+MES_DIM_PCT)^6</f>
        <v>290.89345874736784</v>
      </c>
      <c r="C57" s="35">
        <f t="shared" si="17"/>
        <v>51.47497418163303</v>
      </c>
      <c r="D57" s="44">
        <f t="shared" si="12"/>
        <v>1015.5342228946935</v>
      </c>
      <c r="E57" s="45">
        <f t="shared" si="13"/>
        <v>880</v>
      </c>
      <c r="F57" s="46">
        <f t="shared" si="14"/>
        <v>1895.5342228946934</v>
      </c>
      <c r="G57" s="47">
        <f t="shared" si="15"/>
        <v>2700</v>
      </c>
      <c r="H57" s="46">
        <f t="shared" si="16"/>
        <v>804.46577710530664</v>
      </c>
    </row>
    <row r="58" spans="1:8" ht="14.4" x14ac:dyDescent="0.2">
      <c r="A58" s="36">
        <v>7</v>
      </c>
      <c r="B58" s="37">
        <f>7*MES_BASE_HRS*WEEKS*(1+MES_DIM_PCT)^7</f>
        <v>343.61789814532818</v>
      </c>
      <c r="C58" s="38">
        <f t="shared" si="17"/>
        <v>52.724439397960339</v>
      </c>
      <c r="D58" s="39">
        <f t="shared" si="12"/>
        <v>1040.1845448748384</v>
      </c>
      <c r="E58" s="40">
        <f t="shared" si="13"/>
        <v>880</v>
      </c>
      <c r="F58" s="41">
        <f t="shared" si="14"/>
        <v>1920.1845448748384</v>
      </c>
      <c r="G58" s="42">
        <f t="shared" si="15"/>
        <v>2700</v>
      </c>
      <c r="H58" s="41">
        <f t="shared" si="16"/>
        <v>779.81545512516163</v>
      </c>
    </row>
    <row r="59" spans="1:8" ht="14.4" x14ac:dyDescent="0.2">
      <c r="A59" s="17">
        <v>8</v>
      </c>
      <c r="B59" s="43">
        <f>8*MES_BASE_HRS*WEEKS*(1+MES_DIM_PCT)^8</f>
        <v>397.61499642530839</v>
      </c>
      <c r="C59" s="35">
        <f t="shared" si="17"/>
        <v>53.997098279980207</v>
      </c>
      <c r="D59" s="44">
        <f t="shared" si="12"/>
        <v>1065.2924476821649</v>
      </c>
      <c r="E59" s="45">
        <f t="shared" si="13"/>
        <v>880</v>
      </c>
      <c r="F59" s="46">
        <f t="shared" si="14"/>
        <v>1945.2924476821649</v>
      </c>
      <c r="G59" s="47">
        <f t="shared" si="15"/>
        <v>2700</v>
      </c>
      <c r="H59" s="46">
        <f t="shared" si="16"/>
        <v>754.70755231783505</v>
      </c>
    </row>
    <row r="60" spans="1:8" ht="14.4" x14ac:dyDescent="0.2">
      <c r="A60" s="36">
        <v>9</v>
      </c>
      <c r="B60" s="37">
        <f>9*MES_BASE_HRS*WEEKS*(1+MES_DIM_PCT)^9</f>
        <v>452.90833186570285</v>
      </c>
      <c r="C60" s="38">
        <f t="shared" si="17"/>
        <v>55.293335440394458</v>
      </c>
      <c r="D60" s="39">
        <f t="shared" si="12"/>
        <v>1090.865519224534</v>
      </c>
      <c r="E60" s="40">
        <f t="shared" si="13"/>
        <v>880</v>
      </c>
      <c r="F60" s="41">
        <f t="shared" si="14"/>
        <v>1970.865519224534</v>
      </c>
      <c r="G60" s="42">
        <f t="shared" si="15"/>
        <v>2700</v>
      </c>
      <c r="H60" s="41">
        <f t="shared" si="16"/>
        <v>729.13448077546605</v>
      </c>
    </row>
    <row r="61" spans="1:8" ht="14.4" x14ac:dyDescent="0.2">
      <c r="A61" s="17">
        <v>10</v>
      </c>
      <c r="B61" s="43">
        <f>10*MES_BASE_HRS*WEEKS*(1+MES_DIM_PCT)^10</f>
        <v>509.52187334891573</v>
      </c>
      <c r="C61" s="35">
        <f t="shared" si="17"/>
        <v>56.613541483212884</v>
      </c>
      <c r="D61" s="44">
        <f t="shared" si="12"/>
        <v>1116.9114656105135</v>
      </c>
      <c r="E61" s="45">
        <f t="shared" si="13"/>
        <v>880</v>
      </c>
      <c r="F61" s="46">
        <f t="shared" si="14"/>
        <v>1996.9114656105135</v>
      </c>
      <c r="G61" s="47">
        <f t="shared" si="15"/>
        <v>2700</v>
      </c>
      <c r="H61" s="46">
        <f t="shared" si="16"/>
        <v>703.08853438948654</v>
      </c>
    </row>
    <row r="62" spans="1:8" ht="14.4" x14ac:dyDescent="0.2">
      <c r="A62" s="36">
        <v>11</v>
      </c>
      <c r="B62" s="37">
        <f>11*MES_BASE_HRS*WEEKS*(1+MES_DIM_PCT)^11</f>
        <v>567.47998644235474</v>
      </c>
      <c r="C62" s="38">
        <f t="shared" si="17"/>
        <v>57.95811309343901</v>
      </c>
      <c r="D62" s="39">
        <f t="shared" si="12"/>
        <v>1143.4381129187595</v>
      </c>
      <c r="E62" s="40">
        <f t="shared" si="13"/>
        <v>880</v>
      </c>
      <c r="F62" s="41">
        <f t="shared" si="14"/>
        <v>2023.4381129187595</v>
      </c>
      <c r="G62" s="42">
        <f t="shared" si="15"/>
        <v>2700</v>
      </c>
      <c r="H62" s="41">
        <f t="shared" si="16"/>
        <v>676.56188708124046</v>
      </c>
    </row>
    <row r="63" spans="1:8" ht="14.4" x14ac:dyDescent="0.2">
      <c r="A63" s="17">
        <v>12</v>
      </c>
      <c r="B63" s="43">
        <f>12*MES_BASE_HRS*WEEKS*(1+MES_DIM_PCT)^12</f>
        <v>626.80743957041921</v>
      </c>
      <c r="C63" s="35">
        <f t="shared" si="17"/>
        <v>59.327453128064462</v>
      </c>
      <c r="D63" s="44">
        <f t="shared" si="12"/>
        <v>1170.4534089932188</v>
      </c>
      <c r="E63" s="45">
        <f t="shared" si="13"/>
        <v>880</v>
      </c>
      <c r="F63" s="46">
        <f t="shared" si="14"/>
        <v>2050.4534089932185</v>
      </c>
      <c r="G63" s="47">
        <f t="shared" si="15"/>
        <v>2700</v>
      </c>
      <c r="H63" s="46">
        <f t="shared" si="16"/>
        <v>649.54659100678145</v>
      </c>
    </row>
    <row r="64" spans="1:8" ht="14.4" x14ac:dyDescent="0.2">
      <c r="A64" s="36">
        <v>13</v>
      </c>
      <c r="B64" s="37">
        <f>13*MES_BASE_HRS*WEEKS*(1+MES_DIM_PCT)^13</f>
        <v>687.52941027880343</v>
      </c>
      <c r="C64" s="38">
        <f t="shared" si="17"/>
        <v>60.72197070838422</v>
      </c>
      <c r="D64" s="39">
        <f t="shared" si="12"/>
        <v>1197.9654252643861</v>
      </c>
      <c r="E64" s="40">
        <f t="shared" si="13"/>
        <v>880</v>
      </c>
      <c r="F64" s="41">
        <f t="shared" si="14"/>
        <v>2077.9654252643859</v>
      </c>
      <c r="G64" s="42">
        <f t="shared" si="15"/>
        <v>2700</v>
      </c>
      <c r="H64" s="41">
        <f t="shared" si="16"/>
        <v>622.03457473561411</v>
      </c>
    </row>
    <row r="65" spans="1:8" ht="14.4" x14ac:dyDescent="0.2">
      <c r="A65" s="17">
        <v>14</v>
      </c>
      <c r="B65" s="43">
        <f>14*MES_BASE_HRS*WEEKS*(1+MES_DIM_PCT)^14</f>
        <v>749.67149159246469</v>
      </c>
      <c r="C65" s="35">
        <f t="shared" si="17"/>
        <v>62.142081313661265</v>
      </c>
      <c r="D65" s="44">
        <f t="shared" si="12"/>
        <v>1225.9823585971885</v>
      </c>
      <c r="E65" s="45">
        <f t="shared" si="13"/>
        <v>880</v>
      </c>
      <c r="F65" s="46">
        <f t="shared" si="14"/>
        <v>2105.9823585971885</v>
      </c>
      <c r="G65" s="47">
        <f t="shared" si="15"/>
        <v>2700</v>
      </c>
      <c r="H65" s="46">
        <f t="shared" si="16"/>
        <v>594.01764140281148</v>
      </c>
    </row>
    <row r="66" spans="1:8" ht="14.4" x14ac:dyDescent="0.2">
      <c r="A66" s="36">
        <v>15</v>
      </c>
      <c r="B66" s="37">
        <f>15*MES_BASE_HRS*WEEKS*(1+MES_DIM_PCT)^15</f>
        <v>813.25969846861108</v>
      </c>
      <c r="C66" s="38">
        <f t="shared" si="17"/>
        <v>63.588206876146387</v>
      </c>
      <c r="D66" s="39">
        <f t="shared" si="12"/>
        <v>1254.5125331656004</v>
      </c>
      <c r="E66" s="40">
        <f t="shared" si="13"/>
        <v>880</v>
      </c>
      <c r="F66" s="41">
        <f t="shared" si="14"/>
        <v>2134.5125331656004</v>
      </c>
      <c r="G66" s="42">
        <f t="shared" si="15"/>
        <v>2700</v>
      </c>
      <c r="H66" s="41">
        <f t="shared" si="16"/>
        <v>565.48746683439958</v>
      </c>
    </row>
    <row r="67" spans="1:8" ht="14.4" x14ac:dyDescent="0.2">
      <c r="A67" s="17">
        <v>16</v>
      </c>
      <c r="B67" s="43">
        <f>16*MES_BASE_HRS*WEEKS*(1+MES_DIM_PCT)^16</f>
        <v>878.32047434610013</v>
      </c>
      <c r="C67" s="35">
        <f t="shared" si="17"/>
        <v>65.06077587748905</v>
      </c>
      <c r="D67" s="44">
        <f t="shared" si="12"/>
        <v>1283.564402354705</v>
      </c>
      <c r="E67" s="45">
        <f t="shared" si="13"/>
        <v>880</v>
      </c>
      <c r="F67" s="46">
        <f t="shared" si="14"/>
        <v>2163.5644023547047</v>
      </c>
      <c r="G67" s="47">
        <f t="shared" si="15"/>
        <v>2700</v>
      </c>
      <c r="H67" s="46">
        <f t="shared" si="16"/>
        <v>536.43559764529527</v>
      </c>
    </row>
    <row r="68" spans="1:8" ht="14.4" x14ac:dyDescent="0.2">
      <c r="A68" s="36">
        <v>17</v>
      </c>
      <c r="B68" s="37">
        <f>17*MES_BASE_HRS*WEEKS*(1+MES_DIM_PCT)^17</f>
        <v>944.88069779264049</v>
      </c>
      <c r="C68" s="38">
        <f t="shared" si="17"/>
        <v>66.560223446540363</v>
      </c>
      <c r="D68" s="39">
        <f t="shared" si="12"/>
        <v>1313.1465506902196</v>
      </c>
      <c r="E68" s="40">
        <f t="shared" si="13"/>
        <v>880</v>
      </c>
      <c r="F68" s="41">
        <f t="shared" si="14"/>
        <v>2193.1465506902196</v>
      </c>
      <c r="G68" s="42">
        <f t="shared" si="15"/>
        <v>2700</v>
      </c>
      <c r="H68" s="41">
        <f t="shared" si="16"/>
        <v>506.85344930978044</v>
      </c>
    </row>
    <row r="69" spans="1:8" ht="14.4" x14ac:dyDescent="0.2">
      <c r="A69" s="17">
        <v>18</v>
      </c>
      <c r="B69" s="43">
        <f>18*MES_BASE_HRS*WEEKS*(1+MES_DIM_PCT)^18</f>
        <v>1012.9676892512279</v>
      </c>
      <c r="C69" s="35">
        <f t="shared" si="17"/>
        <v>68.086991458587363</v>
      </c>
      <c r="D69" s="44">
        <f t="shared" si="12"/>
        <v>1343.2676957962597</v>
      </c>
      <c r="E69" s="45">
        <f t="shared" si="13"/>
        <v>880</v>
      </c>
      <c r="F69" s="46">
        <f t="shared" si="14"/>
        <v>2223.2676957962594</v>
      </c>
      <c r="G69" s="47">
        <f t="shared" si="15"/>
        <v>2700</v>
      </c>
      <c r="H69" s="46">
        <f t="shared" si="16"/>
        <v>476.73230420374057</v>
      </c>
    </row>
    <row r="70" spans="1:8" ht="14.4" x14ac:dyDescent="0.2">
      <c r="A70" s="36">
        <v>19</v>
      </c>
      <c r="B70" s="37">
        <f>19*MES_BASE_HRS*WEEKS*(1+MES_DIM_PCT)^19</f>
        <v>1082.6092178872495</v>
      </c>
      <c r="C70" s="38">
        <f t="shared" si="17"/>
        <v>69.64152863602169</v>
      </c>
      <c r="D70" s="39">
        <f t="shared" si="12"/>
        <v>1373.9366903813986</v>
      </c>
      <c r="E70" s="40">
        <f t="shared" si="13"/>
        <v>880</v>
      </c>
      <c r="F70" s="41">
        <f t="shared" si="14"/>
        <v>2253.9366903813989</v>
      </c>
      <c r="G70" s="42">
        <f t="shared" si="15"/>
        <v>2700</v>
      </c>
      <c r="H70" s="41">
        <f t="shared" si="16"/>
        <v>446.06330961860112</v>
      </c>
    </row>
    <row r="71" spans="1:8" ht="14.4" x14ac:dyDescent="0.2">
      <c r="A71" s="17">
        <v>20</v>
      </c>
      <c r="B71" s="43">
        <f>20*MES_BASE_HRS*WEEKS*(1+MES_DIM_PCT)^20</f>
        <v>1153.8335085377266</v>
      </c>
      <c r="C71" s="35">
        <f t="shared" si="17"/>
        <v>71.224290650477087</v>
      </c>
      <c r="D71" s="44">
        <f t="shared" si="12"/>
        <v>1405.1625242537102</v>
      </c>
      <c r="E71" s="45">
        <f t="shared" si="13"/>
        <v>880</v>
      </c>
      <c r="F71" s="46">
        <f t="shared" si="14"/>
        <v>2285.1625242537102</v>
      </c>
      <c r="G71" s="47">
        <f t="shared" si="15"/>
        <v>2700</v>
      </c>
      <c r="H71" s="46">
        <f t="shared" si="16"/>
        <v>414.83747574628978</v>
      </c>
    </row>
    <row r="72" spans="1:8" ht="14.4" x14ac:dyDescent="0.2">
      <c r="A72" s="36">
        <v>21</v>
      </c>
      <c r="B72" s="37">
        <f>21*MES_BASE_HRS*WEEKS*(1+MES_DIM_PCT)^21</f>
        <v>1226.6692487641703</v>
      </c>
      <c r="C72" s="38">
        <f t="shared" si="17"/>
        <v>72.835740226443704</v>
      </c>
      <c r="D72" s="39">
        <f t="shared" si="12"/>
        <v>1436.9543263649421</v>
      </c>
      <c r="E72" s="40">
        <f t="shared" si="13"/>
        <v>880</v>
      </c>
      <c r="F72" s="41">
        <f t="shared" si="14"/>
        <v>2316.9543263649421</v>
      </c>
      <c r="G72" s="42">
        <f t="shared" si="15"/>
        <v>2700</v>
      </c>
      <c r="H72" s="41">
        <f t="shared" si="16"/>
        <v>383.04567363505794</v>
      </c>
    </row>
    <row r="73" spans="1:8" ht="14.4" x14ac:dyDescent="0.2">
      <c r="A73" s="17">
        <v>22</v>
      </c>
      <c r="B73" s="43">
        <f>22*MES_BASE_HRS*WEEKS*(1+MES_DIM_PCT)^22</f>
        <v>1301.1455960105666</v>
      </c>
      <c r="C73" s="35">
        <f t="shared" si="17"/>
        <v>74.476347246396244</v>
      </c>
      <c r="D73" s="44">
        <f t="shared" si="12"/>
        <v>1469.3213668845576</v>
      </c>
      <c r="E73" s="45">
        <f t="shared" si="13"/>
        <v>880</v>
      </c>
      <c r="F73" s="46">
        <f t="shared" si="14"/>
        <v>2349.3213668845574</v>
      </c>
      <c r="G73" s="47">
        <f t="shared" si="15"/>
        <v>2700</v>
      </c>
      <c r="H73" s="46">
        <f t="shared" si="16"/>
        <v>350.67863311544261</v>
      </c>
    </row>
    <row r="74" spans="1:8" ht="14.4" x14ac:dyDescent="0.2">
      <c r="A74" s="36">
        <v>23</v>
      </c>
      <c r="B74" s="37">
        <f>23*MES_BASE_HRS*WEEKS*(1+MES_DIM_PCT)^23</f>
        <v>1377.292184868003</v>
      </c>
      <c r="C74" s="38">
        <f t="shared" si="17"/>
        <v>76.146588857436427</v>
      </c>
      <c r="D74" s="39">
        <f t="shared" si="12"/>
        <v>1502.2730593036536</v>
      </c>
      <c r="E74" s="40">
        <f t="shared" si="13"/>
        <v>880</v>
      </c>
      <c r="F74" s="41">
        <f t="shared" si="14"/>
        <v>2382.2730593036536</v>
      </c>
      <c r="G74" s="42">
        <f t="shared" si="15"/>
        <v>2700</v>
      </c>
      <c r="H74" s="41">
        <f t="shared" si="16"/>
        <v>317.72694069634645</v>
      </c>
    </row>
    <row r="75" spans="1:8" ht="14.4" x14ac:dyDescent="0.2">
      <c r="A75" s="17">
        <v>24</v>
      </c>
      <c r="B75" s="43">
        <f>24*MES_BASE_HRS*WEEKS*(1+MES_DIM_PCT)^24</f>
        <v>1455.1391344474989</v>
      </c>
      <c r="C75" s="35">
        <f t="shared" si="17"/>
        <v>77.846949579495913</v>
      </c>
      <c r="D75" s="44">
        <f t="shared" si="12"/>
        <v>1535.8189625696618</v>
      </c>
      <c r="E75" s="45">
        <f t="shared" si="13"/>
        <v>880</v>
      </c>
      <c r="F75" s="46">
        <f t="shared" si="14"/>
        <v>2415.8189625696618</v>
      </c>
      <c r="G75" s="47">
        <f t="shared" si="15"/>
        <v>2700</v>
      </c>
      <c r="H75" s="46">
        <f t="shared" si="16"/>
        <v>284.18103743033816</v>
      </c>
    </row>
    <row r="76" spans="1:8" ht="14.4" x14ac:dyDescent="0.2">
      <c r="A76" s="36">
        <v>25</v>
      </c>
      <c r="B76" s="37">
        <f>25*MES_BASE_HRS*WEEKS*(1+MES_DIM_PCT)^25</f>
        <v>1534.7170558625965</v>
      </c>
      <c r="C76" s="38">
        <f t="shared" si="17"/>
        <v>79.577921415097535</v>
      </c>
      <c r="D76" s="39">
        <f t="shared" si="12"/>
        <v>1569.9687832517968</v>
      </c>
      <c r="E76" s="40">
        <f t="shared" si="13"/>
        <v>880</v>
      </c>
      <c r="F76" s="41">
        <f t="shared" si="14"/>
        <v>2449.9687832517966</v>
      </c>
      <c r="G76" s="42">
        <f t="shared" si="15"/>
        <v>2700</v>
      </c>
      <c r="H76" s="41">
        <f t="shared" si="16"/>
        <v>250.03121674820341</v>
      </c>
    </row>
    <row r="77" spans="1:8" ht="14.4" x14ac:dyDescent="0.2">
      <c r="A77" s="17">
        <v>26</v>
      </c>
      <c r="B77" s="43">
        <f>26*MES_BASE_HRS*WEEKS*(1+MES_DIM_PCT)^26</f>
        <v>1616.0570598233144</v>
      </c>
      <c r="C77" s="35">
        <f t="shared" si="17"/>
        <v>81.340003960717922</v>
      </c>
      <c r="D77" s="44">
        <f t="shared" si="12"/>
        <v>1604.7323777380939</v>
      </c>
      <c r="E77" s="45">
        <f t="shared" si="13"/>
        <v>880</v>
      </c>
      <c r="F77" s="46">
        <f t="shared" si="14"/>
        <v>2484.7323777380939</v>
      </c>
      <c r="G77" s="47">
        <f t="shared" si="15"/>
        <v>2700</v>
      </c>
      <c r="H77" s="46">
        <f t="shared" si="16"/>
        <v>215.26762226190613</v>
      </c>
    </row>
    <row r="78" spans="1:8" ht="14.4" x14ac:dyDescent="0.2">
      <c r="A78" s="36">
        <v>27</v>
      </c>
      <c r="B78" s="37">
        <f>27*MES_BASE_HRS*WEEKS*(1+MES_DIM_PCT)^27</f>
        <v>1699.1907643430709</v>
      </c>
      <c r="C78" s="38">
        <f t="shared" si="17"/>
        <v>83.13370451975652</v>
      </c>
      <c r="D78" s="39">
        <f t="shared" si="12"/>
        <v>1640.1197544641418</v>
      </c>
      <c r="E78" s="40">
        <f t="shared" si="13"/>
        <v>880</v>
      </c>
      <c r="F78" s="41">
        <f t="shared" si="14"/>
        <v>2520.1197544641418</v>
      </c>
      <c r="G78" s="42">
        <f t="shared" si="15"/>
        <v>2700</v>
      </c>
      <c r="H78" s="41">
        <f t="shared" si="16"/>
        <v>179.88024553585819</v>
      </c>
    </row>
    <row r="79" spans="1:8" ht="14.4" x14ac:dyDescent="0.2">
      <c r="A79" s="17">
        <v>28</v>
      </c>
      <c r="B79" s="43">
        <f>28*MES_BASE_HRS*WEEKS*(1+MES_DIM_PCT)^28</f>
        <v>1784.1503025602246</v>
      </c>
      <c r="C79" s="35">
        <f t="shared" si="17"/>
        <v>84.959538217153749</v>
      </c>
      <c r="D79" s="44">
        <f t="shared" si="12"/>
        <v>1676.1410761743496</v>
      </c>
      <c r="E79" s="45">
        <f t="shared" si="13"/>
        <v>880</v>
      </c>
      <c r="F79" s="46">
        <f t="shared" si="14"/>
        <v>2556.1410761743496</v>
      </c>
      <c r="G79" s="47">
        <f t="shared" si="15"/>
        <v>2700</v>
      </c>
      <c r="H79" s="46">
        <f t="shared" si="16"/>
        <v>143.85892382565044</v>
      </c>
    </row>
    <row r="80" spans="1:8" ht="14.4" x14ac:dyDescent="0.2">
      <c r="A80" s="36">
        <v>29</v>
      </c>
      <c r="B80" s="37">
        <f>29*MES_BASE_HRS*WEEKS*(1+MES_DIM_PCT)^29</f>
        <v>1870.9683306758782</v>
      </c>
      <c r="C80" s="38">
        <f t="shared" si="17"/>
        <v>86.818028115653533</v>
      </c>
      <c r="D80" s="39">
        <f t="shared" si="12"/>
        <v>1712.8066622156546</v>
      </c>
      <c r="E80" s="40">
        <f t="shared" si="13"/>
        <v>880</v>
      </c>
      <c r="F80" s="41">
        <f t="shared" si="14"/>
        <v>2592.8066622156548</v>
      </c>
      <c r="G80" s="42">
        <f t="shared" si="15"/>
        <v>2700</v>
      </c>
      <c r="H80" s="41">
        <f t="shared" si="16"/>
        <v>107.1933377843452</v>
      </c>
    </row>
    <row r="81" spans="1:8" ht="14.4" x14ac:dyDescent="0.2">
      <c r="A81" s="17">
        <v>30</v>
      </c>
      <c r="B81" s="43">
        <f>30*MES_BASE_HRS*WEEKS*(1+MES_DIM_PCT)^30</f>
        <v>1959.6780360096488</v>
      </c>
      <c r="C81" s="35">
        <f t="shared" si="17"/>
        <v>88.709705333770671</v>
      </c>
      <c r="D81" s="44">
        <f t="shared" si="12"/>
        <v>1750.1269908648653</v>
      </c>
      <c r="E81" s="45">
        <f t="shared" si="13"/>
        <v>880</v>
      </c>
      <c r="F81" s="46">
        <f t="shared" si="14"/>
        <v>2630.1269908648655</v>
      </c>
      <c r="G81" s="47">
        <f t="shared" si="15"/>
        <v>2700</v>
      </c>
      <c r="H81" s="46">
        <f t="shared" si="16"/>
        <v>69.873009135134453</v>
      </c>
    </row>
  </sheetData>
  <mergeCells count="5">
    <mergeCell ref="A50:H50"/>
    <mergeCell ref="A4:H4"/>
    <mergeCell ref="A1:G1"/>
    <mergeCell ref="A2:G2"/>
    <mergeCell ref="A27:H27"/>
  </mergeCells>
  <phoneticPr fontId="7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5"/>
  <sheetViews>
    <sheetView workbookViewId="0">
      <selection sqref="A1:G1"/>
    </sheetView>
  </sheetViews>
  <sheetFormatPr defaultRowHeight="13.2" x14ac:dyDescent="0.2"/>
  <cols>
    <col min="1" max="1" width="10" customWidth="1"/>
    <col min="2" max="2" width="38" customWidth="1"/>
    <col min="3" max="4" width="20" customWidth="1"/>
    <col min="5" max="5" width="12" customWidth="1"/>
    <col min="6" max="6" width="40" customWidth="1"/>
    <col min="7" max="7" width="12" customWidth="1"/>
  </cols>
  <sheetData>
    <row r="1" spans="1:7" ht="21" x14ac:dyDescent="0.4">
      <c r="A1" s="54" t="s">
        <v>150</v>
      </c>
      <c r="B1" s="55"/>
      <c r="C1" s="55"/>
      <c r="D1" s="55"/>
      <c r="E1" s="55"/>
      <c r="F1" s="55"/>
      <c r="G1" s="55"/>
    </row>
    <row r="2" spans="1:7" ht="14.4" x14ac:dyDescent="0.3">
      <c r="A2" s="58" t="s">
        <v>151</v>
      </c>
      <c r="B2" s="55"/>
      <c r="C2" s="55"/>
      <c r="D2" s="55"/>
      <c r="E2" s="55"/>
      <c r="F2" s="55"/>
      <c r="G2" s="55"/>
    </row>
    <row r="4" spans="1:7" ht="15.6" x14ac:dyDescent="0.3">
      <c r="A4" s="56" t="s">
        <v>152</v>
      </c>
      <c r="B4" s="55"/>
      <c r="C4" s="55"/>
      <c r="D4" s="55"/>
      <c r="E4" s="55"/>
      <c r="F4" s="55"/>
      <c r="G4" s="55"/>
    </row>
    <row r="5" spans="1:7" ht="14.4" x14ac:dyDescent="0.2">
      <c r="A5" s="1" t="s">
        <v>153</v>
      </c>
      <c r="B5" s="1" t="s">
        <v>154</v>
      </c>
      <c r="C5" s="1" t="s">
        <v>155</v>
      </c>
      <c r="D5" s="1" t="s">
        <v>156</v>
      </c>
      <c r="E5" s="1" t="s">
        <v>130</v>
      </c>
      <c r="F5" s="1" t="s">
        <v>157</v>
      </c>
    </row>
    <row r="6" spans="1:7" ht="14.4" x14ac:dyDescent="0.2">
      <c r="A6" s="17">
        <v>1</v>
      </c>
      <c r="B6" s="2" t="s">
        <v>158</v>
      </c>
      <c r="C6" s="48" t="s">
        <v>159</v>
      </c>
      <c r="D6" s="49">
        <f>'Marginal Cost Schedules'!B6</f>
        <v>99.000000000000014</v>
      </c>
      <c r="E6" s="33" t="s">
        <v>160</v>
      </c>
      <c r="F6" s="2" t="s">
        <v>161</v>
      </c>
    </row>
    <row r="7" spans="1:7" ht="14.4" x14ac:dyDescent="0.2">
      <c r="A7" s="36">
        <v>2</v>
      </c>
      <c r="B7" s="5" t="s">
        <v>162</v>
      </c>
      <c r="C7" s="50" t="s">
        <v>163</v>
      </c>
      <c r="D7" s="51">
        <f>BEDS_TOMATO</f>
        <v>10</v>
      </c>
      <c r="E7" s="52" t="s">
        <v>160</v>
      </c>
      <c r="F7" s="5" t="s">
        <v>164</v>
      </c>
    </row>
    <row r="8" spans="1:7" ht="14.4" x14ac:dyDescent="0.2">
      <c r="A8" s="17">
        <v>3</v>
      </c>
      <c r="B8" s="2" t="s">
        <v>165</v>
      </c>
      <c r="C8" s="48" t="s">
        <v>166</v>
      </c>
      <c r="D8" s="32">
        <f>BEDS_CARROT</f>
        <v>20</v>
      </c>
      <c r="E8" s="33" t="s">
        <v>160</v>
      </c>
      <c r="F8" s="2" t="s">
        <v>164</v>
      </c>
    </row>
    <row r="9" spans="1:7" ht="14.4" x14ac:dyDescent="0.2">
      <c r="A9" s="36">
        <v>4</v>
      </c>
      <c r="B9" s="5" t="s">
        <v>167</v>
      </c>
      <c r="C9" s="50" t="s">
        <v>168</v>
      </c>
      <c r="D9" s="51">
        <f>BEDS_MESCLUN</f>
        <v>30</v>
      </c>
      <c r="E9" s="52" t="s">
        <v>160</v>
      </c>
      <c r="F9" s="5" t="s">
        <v>164</v>
      </c>
    </row>
    <row r="10" spans="1:7" ht="14.4" x14ac:dyDescent="0.2">
      <c r="A10" s="17">
        <v>5</v>
      </c>
      <c r="B10" s="2" t="s">
        <v>74</v>
      </c>
      <c r="C10" s="48" t="s">
        <v>169</v>
      </c>
      <c r="D10" s="32">
        <f>TOTAL_PLANTED_BEDS</f>
        <v>60</v>
      </c>
      <c r="E10" s="33" t="s">
        <v>160</v>
      </c>
      <c r="F10" s="2" t="s">
        <v>170</v>
      </c>
    </row>
    <row r="11" spans="1:7" ht="14.4" x14ac:dyDescent="0.2">
      <c r="A11" s="36">
        <v>6</v>
      </c>
      <c r="B11" s="5" t="s">
        <v>171</v>
      </c>
      <c r="C11" s="50" t="s">
        <v>172</v>
      </c>
      <c r="D11" s="53">
        <f>TOTAL_LABOR_HRS</f>
        <v>5276.8228463282185</v>
      </c>
      <c r="E11" s="52" t="s">
        <v>160</v>
      </c>
      <c r="F11" s="5" t="s">
        <v>173</v>
      </c>
    </row>
    <row r="12" spans="1:7" ht="14.4" x14ac:dyDescent="0.2">
      <c r="A12" s="17">
        <v>7</v>
      </c>
      <c r="B12" s="2" t="s">
        <v>174</v>
      </c>
      <c r="C12" s="48" t="s">
        <v>175</v>
      </c>
      <c r="D12" s="47">
        <f>TOTAL_REVENUE</f>
        <v>210880</v>
      </c>
      <c r="E12" s="33" t="s">
        <v>160</v>
      </c>
      <c r="F12" s="2" t="s">
        <v>176</v>
      </c>
    </row>
    <row r="13" spans="1:7" ht="14.4" x14ac:dyDescent="0.2">
      <c r="A13" s="36">
        <v>8</v>
      </c>
      <c r="B13" s="5" t="s">
        <v>177</v>
      </c>
      <c r="C13" s="50" t="s">
        <v>178</v>
      </c>
      <c r="D13" s="42">
        <f>TOTAL_FERTILIZER</f>
        <v>44000</v>
      </c>
      <c r="E13" s="52" t="s">
        <v>160</v>
      </c>
      <c r="F13" s="5" t="s">
        <v>176</v>
      </c>
    </row>
    <row r="14" spans="1:7" ht="14.4" x14ac:dyDescent="0.2">
      <c r="A14" s="17">
        <v>9</v>
      </c>
      <c r="B14" s="2" t="s">
        <v>106</v>
      </c>
      <c r="C14" s="48" t="s">
        <v>179</v>
      </c>
      <c r="D14" s="47">
        <f>TOTAL_LABOR_COST</f>
        <v>104104.84461225786</v>
      </c>
      <c r="E14" s="33" t="s">
        <v>160</v>
      </c>
      <c r="F14" s="2" t="s">
        <v>180</v>
      </c>
    </row>
    <row r="15" spans="1:7" ht="14.4" x14ac:dyDescent="0.2">
      <c r="A15" s="36">
        <v>10</v>
      </c>
      <c r="B15" s="5" t="s">
        <v>181</v>
      </c>
      <c r="C15" s="50" t="s">
        <v>182</v>
      </c>
      <c r="D15" s="42">
        <f>SEASON_PROFIT</f>
        <v>42775.155387742139</v>
      </c>
      <c r="E15" s="52" t="s">
        <v>160</v>
      </c>
      <c r="F15" s="5" t="s">
        <v>183</v>
      </c>
    </row>
  </sheetData>
  <mergeCells count="3">
    <mergeCell ref="A2:G2"/>
    <mergeCell ref="A1:G1"/>
    <mergeCell ref="A4:G4"/>
  </mergeCells>
  <phoneticPr fontId="7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41</vt:i4>
      </vt:variant>
    </vt:vector>
  </HeadingPairs>
  <TitlesOfParts>
    <vt:vector size="44" baseType="lpstr">
      <vt:lpstr>Summary &amp; PNL</vt:lpstr>
      <vt:lpstr>Marginal Cost Schedules</vt:lpstr>
      <vt:lpstr>Checks &amp; Audit</vt:lpstr>
      <vt:lpstr>BEDS_CARROT</vt:lpstr>
      <vt:lpstr>BEDS_MESCLUN</vt:lpstr>
      <vt:lpstr>BEDS_TOMATO</vt:lpstr>
      <vt:lpstr>BLENDED_LABOR_RATE</vt:lpstr>
      <vt:lpstr>CAR_BASE_HRS</vt:lpstr>
      <vt:lpstr>CAR_DIM_PCT</vt:lpstr>
      <vt:lpstr>CAR_FERT</vt:lpstr>
      <vt:lpstr>CAR_MAX_BEDS</vt:lpstr>
      <vt:lpstr>CAR_PRICE</vt:lpstr>
      <vt:lpstr>FARM_MAX_BEDS</vt:lpstr>
      <vt:lpstr>FIXED_OVERHEAD</vt:lpstr>
      <vt:lpstr>FIXED_OVERHEAD_EXP</vt:lpstr>
      <vt:lpstr>LABOR_HRS_CARROT</vt:lpstr>
      <vt:lpstr>LABOR_HRS_MESCLUN</vt:lpstr>
      <vt:lpstr>LABOR_HRS_TOMATO</vt:lpstr>
      <vt:lpstr>MES_BASE_HRS</vt:lpstr>
      <vt:lpstr>MES_DIM_PCT</vt:lpstr>
      <vt:lpstr>MES_FERT</vt:lpstr>
      <vt:lpstr>MES_MAX_BEDS</vt:lpstr>
      <vt:lpstr>MES_PRICE</vt:lpstr>
      <vt:lpstr>OWNER_HRS_CAP</vt:lpstr>
      <vt:lpstr>OWNER_HRS_USED</vt:lpstr>
      <vt:lpstr>OWNER_LABOR_COST</vt:lpstr>
      <vt:lpstr>OWNER_RATE</vt:lpstr>
      <vt:lpstr>SEASON_PROFIT</vt:lpstr>
      <vt:lpstr>TEMP_HRS_CAP</vt:lpstr>
      <vt:lpstr>TEMP_HRS_USED</vt:lpstr>
      <vt:lpstr>TEMP_LABOR_COST</vt:lpstr>
      <vt:lpstr>TEMP_RATE</vt:lpstr>
      <vt:lpstr>TOM_BASE_HRS</vt:lpstr>
      <vt:lpstr>TOM_DIM_PCT</vt:lpstr>
      <vt:lpstr>TOM_FERT</vt:lpstr>
      <vt:lpstr>TOM_MAX_BEDS</vt:lpstr>
      <vt:lpstr>TOM_PRICE</vt:lpstr>
      <vt:lpstr>TOTAL_FERTILIZER</vt:lpstr>
      <vt:lpstr>TOTAL_LABOR_CAP</vt:lpstr>
      <vt:lpstr>TOTAL_LABOR_COST</vt:lpstr>
      <vt:lpstr>TOTAL_LABOR_HRS</vt:lpstr>
      <vt:lpstr>TOTAL_PLANTED_BEDS</vt:lpstr>
      <vt:lpstr>TOTAL_REVENUE</vt:lpstr>
      <vt:lpstr>WEEKS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剛史 山本</cp:lastModifiedBy>
  <dcterms:created xsi:type="dcterms:W3CDTF">2026-10-14T08:20:22Z</dcterms:created>
  <dcterms:modified xsi:type="dcterms:W3CDTF">2026-10-14T10:45:07Z</dcterms:modified>
</cp:coreProperties>
</file>