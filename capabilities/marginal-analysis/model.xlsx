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PNL" sheetId="1" state="visible" r:id="rId1"/>
    <sheet xmlns:r="http://schemas.openxmlformats.org/officeDocument/2006/relationships" name="Marginal Cost Schedules" sheetId="2" state="visible" r:id="rId2"/>
    <sheet xmlns:r="http://schemas.openxmlformats.org/officeDocument/2006/relationships" name="Checks &amp; Audit" sheetId="3" state="visible" r:id="rId3"/>
  </sheets>
  <definedNames>
    <definedName name="TOM_PRICE">'Summary &amp; PNL'!$C$6</definedName>
    <definedName name="TOM_FERT">'Summary &amp; PNL'!$C$7</definedName>
    <definedName name="TOM_BASE_HRS">'Summary &amp; PNL'!$C$8</definedName>
    <definedName name="TOM_DIM_PCT">'Summary &amp; PNL'!$C$9</definedName>
    <definedName name="TOM_MAX_BEDS">'Summary &amp; PNL'!$C$10</definedName>
    <definedName name="CAR_PRICE">'Summary &amp; PNL'!$C$11</definedName>
    <definedName name="CAR_FERT">'Summary &amp; PNL'!$C$12</definedName>
    <definedName name="CAR_BASE_HRS">'Summary &amp; PNL'!$C$13</definedName>
    <definedName name="CAR_DIM_PCT">'Summary &amp; PNL'!$C$14</definedName>
    <definedName name="CAR_MAX_BEDS">'Summary &amp; PNL'!$C$15</definedName>
    <definedName name="MES_PRICE">'Summary &amp; PNL'!$C$16</definedName>
    <definedName name="MES_FERT">'Summary &amp; PNL'!$C$17</definedName>
    <definedName name="MES_BASE_HRS">'Summary &amp; PNL'!$C$18</definedName>
    <definedName name="MES_DIM_PCT">'Summary &amp; PNL'!$C$19</definedName>
    <definedName name="MES_MAX_BEDS">'Summary &amp; PNL'!$C$20</definedName>
    <definedName name="WEEKS">'Summary &amp; PNL'!$C$21</definedName>
    <definedName name="FARM_MAX_BEDS">'Summary &amp; PNL'!$C$22</definedName>
    <definedName name="OWNER_HRS_CAP">'Summary &amp; PNL'!$C$23</definedName>
    <definedName name="OWNER_RATE">'Summary &amp; PNL'!$C$24</definedName>
    <definedName name="TEMP_HRS_CAP">'Summary &amp; PNL'!$C$25</definedName>
    <definedName name="TEMP_RATE">'Summary &amp; PNL'!$C$26</definedName>
    <definedName name="TOTAL_LABOR_CAP">'Summary &amp; PNL'!$C$27</definedName>
    <definedName name="FIXED_OVERHEAD">'Summary &amp; PNL'!$C$28</definedName>
    <definedName name="BEDS_TOMATO">'Summary &amp; PNL'!$C$32</definedName>
    <definedName name="BEDS_CARROT">'Summary &amp; PNL'!$C$33</definedName>
    <definedName name="BEDS_MESCLUN">'Summary &amp; PNL'!$C$34</definedName>
    <definedName name="TOTAL_PLANTED_BEDS">'Summary &amp; PNL'!$C$35</definedName>
    <definedName name="LABOR_HRS_TOMATO">'Summary &amp; PNL'!$C$39</definedName>
    <definedName name="LABOR_HRS_CARROT">'Summary &amp; PNL'!$C$40</definedName>
    <definedName name="LABOR_HRS_MESCLUN">'Summary &amp; PNL'!$C$41</definedName>
    <definedName name="TOTAL_LABOR_HRS">'Summary &amp; PNL'!$C$42</definedName>
    <definedName name="OWNER_HRS_USED">'Summary &amp; PNL'!$C$43</definedName>
    <definedName name="TEMP_HRS_USED">'Summary &amp; PNL'!$C$44</definedName>
    <definedName name="OWNER_LABOR_COST">'Summary &amp; PNL'!$C$45</definedName>
    <definedName name="TEMP_LABOR_COST">'Summary &amp; PNL'!$C$46</definedName>
    <definedName name="TOTAL_LABOR_COST">'Summary &amp; PNL'!$C$47</definedName>
    <definedName name="BLENDED_LABOR_RATE">'Summary &amp; PNL'!$C$48</definedName>
    <definedName name="TOTAL_REVENUE">'Summary &amp; PNL'!$C$49</definedName>
    <definedName name="TOTAL_FERTILIZER">'Summary &amp; PNL'!$C$50</definedName>
    <definedName name="FIXED_OVERHEAD_EXP">'Summary &amp; PNL'!$C$51</definedName>
    <definedName name="SEASON_PROFIT">'Summary &amp; PNL'!$C$52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00"/>
    <numFmt numFmtId="166" formatCode="0.0%"/>
    <numFmt numFmtId="167" formatCode="0.000%"/>
    <numFmt numFmtId="168" formatCode="$#,##0.00"/>
    <numFmt numFmtId="169" formatCode="0.0"/>
    <numFmt numFmtId="170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1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0" fontId="3" fillId="2" borderId="0" pivotButton="0" quotePrefix="0" xfId="0"/>
    <xf numFmtId="1" fontId="5" fillId="6" borderId="2" applyAlignment="1" pivotButton="0" quotePrefix="0" xfId="0">
      <alignment horizontal="right" vertical="center"/>
    </xf>
    <xf numFmtId="1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5" fillId="0" borderId="3" pivotButton="0" quotePrefix="0" xfId="0"/>
    <xf numFmtId="1" fontId="5" fillId="7" borderId="3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9" fontId="6" fillId="5" borderId="2" applyAlignment="1" pivotButton="0" quotePrefix="0" xfId="0">
      <alignment horizontal="right" vertical="center"/>
    </xf>
    <xf numFmtId="170" fontId="5" fillId="7" borderId="2" applyAlignment="1" pivotButton="0" quotePrefix="0" xfId="0">
      <alignment horizontal="right" vertical="center"/>
    </xf>
    <xf numFmtId="170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7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 vertical="center"/>
    </xf>
    <xf numFmtId="168" fontId="6" fillId="5" borderId="2" applyAlignment="1" pivotButton="0" quotePrefix="0" xfId="0">
      <alignment horizontal="right" vertical="center"/>
    </xf>
    <xf numFmtId="1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69" fontId="5" fillId="0" borderId="2" applyAlignment="1" pivotButton="0" quotePrefix="0" xfId="0">
      <alignment horizontal="right" vertical="center"/>
    </xf>
    <xf numFmtId="169" fontId="0" fillId="0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170" fontId="0" fillId="5" borderId="2" applyAlignment="1" pivotButton="0" quotePrefix="0" xfId="0">
      <alignment horizontal="right" vertical="center"/>
    </xf>
    <xf numFmtId="169" fontId="0" fillId="5" borderId="2" applyAlignment="1" pivotButton="0" quotePrefix="0" xfId="0">
      <alignment horizontal="right" vertical="center"/>
    </xf>
    <xf numFmtId="168" fontId="0" fillId="5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8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70" fontId="0" fillId="0" borderId="2" applyAlignment="1" pivotButton="0" quotePrefix="0" xfId="0">
      <alignment horizontal="right" vertical="center"/>
    </xf>
    <xf numFmtId="168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70" fontId="5" fillId="0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right" vertical="center"/>
    </xf>
    <xf numFmtId="1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17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45" customWidth="1" min="5" max="5"/>
    <col width="22" customWidth="1" min="6" max="6"/>
    <col width="12" customWidth="1" min="7" max="7"/>
  </cols>
  <sheetData>
    <row r="1">
      <c r="A1" s="1" t="inlineStr">
        <is>
          <t>Stage 2 Marginal Analysis &amp; Optimization Model</t>
        </is>
      </c>
    </row>
    <row r="2">
      <c r="A2" s="2" t="inlineStr">
        <is>
          <t>Farm Profit Maximization under Land &amp; Labor Constraints | Model Version 1.0</t>
        </is>
      </c>
    </row>
    <row r="4">
      <c r="A4" s="3" t="inlineStr">
        <is>
          <t>1. INPUT ASSUMPTIONS (THE NAMED CONTRACT)</t>
        </is>
      </c>
    </row>
    <row r="5">
      <c r="A5" s="4" t="inlineStr">
        <is>
          <t>Crop / Category</t>
        </is>
      </c>
      <c r="B5" s="4" t="inlineStr">
        <is>
          <t>Variable Name</t>
        </is>
      </c>
      <c r="C5" s="4" t="inlineStr">
        <is>
          <t>Value</t>
        </is>
      </c>
      <c r="D5" s="4" t="inlineStr">
        <is>
          <t>Unit</t>
        </is>
      </c>
      <c r="E5" s="4" t="inlineStr">
        <is>
          <t>Description / Logic</t>
        </is>
      </c>
    </row>
    <row r="6">
      <c r="A6" s="5" t="inlineStr">
        <is>
          <t>Tomato</t>
        </is>
      </c>
      <c r="B6" s="6" t="inlineStr">
        <is>
          <t>TOM_PRICE</t>
        </is>
      </c>
      <c r="C6" s="7" t="n">
        <v>8800</v>
      </c>
      <c r="D6" s="5" t="inlineStr">
        <is>
          <t>USD / bed</t>
        </is>
      </c>
      <c r="E6" s="5" t="inlineStr">
        <is>
          <t>Revenue generated per bed of tomatoes</t>
        </is>
      </c>
    </row>
    <row r="7">
      <c r="A7" s="8" t="inlineStr">
        <is>
          <t>Tomato</t>
        </is>
      </c>
      <c r="B7" s="9" t="inlineStr">
        <is>
          <t>TOM_FERT</t>
        </is>
      </c>
      <c r="C7" s="7" t="n">
        <v>880</v>
      </c>
      <c r="D7" s="8" t="inlineStr">
        <is>
          <t>USD / bed</t>
        </is>
      </c>
      <c r="E7" s="8" t="inlineStr">
        <is>
          <t>Fertilizer cost per bed of tomatoes</t>
        </is>
      </c>
    </row>
    <row r="8">
      <c r="A8" s="5" t="inlineStr">
        <is>
          <t>Tomato</t>
        </is>
      </c>
      <c r="B8" s="6" t="inlineStr">
        <is>
          <t>TOM_BASE_HRS</t>
        </is>
      </c>
      <c r="C8" s="10" t="n">
        <v>2.5</v>
      </c>
      <c r="D8" s="5" t="inlineStr">
        <is>
          <t>hrs / wk / bed</t>
        </is>
      </c>
      <c r="E8" s="5" t="inlineStr">
        <is>
          <t>Base labor required per bed per week</t>
        </is>
      </c>
    </row>
    <row r="9">
      <c r="A9" s="8" t="inlineStr">
        <is>
          <t>Tomato</t>
        </is>
      </c>
      <c r="B9" s="9" t="inlineStr">
        <is>
          <t>TOM_DIM_PCT</t>
        </is>
      </c>
      <c r="C9" s="11" t="n">
        <v>0.1</v>
      </c>
      <c r="D9" s="8" t="inlineStr">
        <is>
          <t>% penalty</t>
        </is>
      </c>
      <c r="E9" s="8" t="inlineStr">
        <is>
          <t>Diminishing returns labor penalty rate</t>
        </is>
      </c>
    </row>
    <row r="10">
      <c r="A10" s="5" t="inlineStr">
        <is>
          <t>Tomato</t>
        </is>
      </c>
      <c r="B10" s="6" t="inlineStr">
        <is>
          <t>TOM_MAX_BEDS</t>
        </is>
      </c>
      <c r="C10" s="12" t="n">
        <v>20</v>
      </c>
      <c r="D10" s="5" t="inlineStr">
        <is>
          <t>beds</t>
        </is>
      </c>
      <c r="E10" s="5" t="inlineStr">
        <is>
          <t>Maximum bed capacity for tomatoes</t>
        </is>
      </c>
    </row>
    <row r="11">
      <c r="A11" s="8" t="inlineStr">
        <is>
          <t>Carrot</t>
        </is>
      </c>
      <c r="B11" s="9" t="inlineStr">
        <is>
          <t>CAR_PRICE</t>
        </is>
      </c>
      <c r="C11" s="7" t="n">
        <v>2094</v>
      </c>
      <c r="D11" s="8" t="inlineStr">
        <is>
          <t>USD / bed</t>
        </is>
      </c>
      <c r="E11" s="8" t="inlineStr">
        <is>
          <t>Revenue generated per bed of carrots</t>
        </is>
      </c>
    </row>
    <row r="12">
      <c r="A12" s="5" t="inlineStr">
        <is>
          <t>Carrot</t>
        </is>
      </c>
      <c r="B12" s="6" t="inlineStr">
        <is>
          <t>CAR_FERT</t>
        </is>
      </c>
      <c r="C12" s="7" t="n">
        <v>440</v>
      </c>
      <c r="D12" s="5" t="inlineStr">
        <is>
          <t>USD / bed</t>
        </is>
      </c>
      <c r="E12" s="5" t="inlineStr">
        <is>
          <t>Fertilizer cost per bed of carrots</t>
        </is>
      </c>
    </row>
    <row r="13">
      <c r="A13" s="8" t="inlineStr">
        <is>
          <t>Carrot</t>
        </is>
      </c>
      <c r="B13" s="9" t="inlineStr">
        <is>
          <t>CAR_BASE_HRS</t>
        </is>
      </c>
      <c r="C13" s="10" t="n">
        <v>0.833</v>
      </c>
      <c r="D13" s="8" t="inlineStr">
        <is>
          <t>hrs / wk / bed</t>
        </is>
      </c>
      <c r="E13" s="8" t="inlineStr">
        <is>
          <t>Base labor required per bed per week</t>
        </is>
      </c>
    </row>
    <row r="14">
      <c r="A14" s="5" t="inlineStr">
        <is>
          <t>Carrot</t>
        </is>
      </c>
      <c r="B14" s="6" t="inlineStr">
        <is>
          <t>CAR_DIM_PCT</t>
        </is>
      </c>
      <c r="C14" s="13" t="n">
        <v>0.025</v>
      </c>
      <c r="D14" s="5" t="inlineStr">
        <is>
          <t>% penalty</t>
        </is>
      </c>
      <c r="E14" s="5" t="inlineStr">
        <is>
          <t>Diminishing returns labor penalty rate</t>
        </is>
      </c>
    </row>
    <row r="15">
      <c r="A15" s="8" t="inlineStr">
        <is>
          <t>Carrot</t>
        </is>
      </c>
      <c r="B15" s="9" t="inlineStr">
        <is>
          <t>CAR_MAX_BEDS</t>
        </is>
      </c>
      <c r="C15" s="12" t="n">
        <v>20</v>
      </c>
      <c r="D15" s="8" t="inlineStr">
        <is>
          <t>beds</t>
        </is>
      </c>
      <c r="E15" s="8" t="inlineStr">
        <is>
          <t>Maximum bed capacity for carrots</t>
        </is>
      </c>
    </row>
    <row r="16">
      <c r="A16" s="5" t="inlineStr">
        <is>
          <t>Mesclun</t>
        </is>
      </c>
      <c r="B16" s="6" t="inlineStr">
        <is>
          <t>MES_PRICE</t>
        </is>
      </c>
      <c r="C16" s="7" t="n">
        <v>2700</v>
      </c>
      <c r="D16" s="5" t="inlineStr">
        <is>
          <t>USD / bed</t>
        </is>
      </c>
      <c r="E16" s="5" t="inlineStr">
        <is>
          <t>Revenue generated per bed of mesclun</t>
        </is>
      </c>
    </row>
    <row r="17">
      <c r="A17" s="8" t="inlineStr">
        <is>
          <t>Mesclun</t>
        </is>
      </c>
      <c r="B17" s="9" t="inlineStr">
        <is>
          <t>MES_FERT</t>
        </is>
      </c>
      <c r="C17" s="7" t="n">
        <v>880</v>
      </c>
      <c r="D17" s="8" t="inlineStr">
        <is>
          <t>USD / bed</t>
        </is>
      </c>
      <c r="E17" s="8" t="inlineStr">
        <is>
          <t>Fertilizer cost per bed of mesclun</t>
        </is>
      </c>
    </row>
    <row r="18">
      <c r="A18" s="5" t="inlineStr">
        <is>
          <t>Mesclun</t>
        </is>
      </c>
      <c r="B18" s="6" t="inlineStr">
        <is>
          <t>MES_BASE_HRS</t>
        </is>
      </c>
      <c r="C18" s="10" t="n">
        <v>1.25</v>
      </c>
      <c r="D18" s="5" t="inlineStr">
        <is>
          <t>hrs / wk / bed</t>
        </is>
      </c>
      <c r="E18" s="5" t="inlineStr">
        <is>
          <t>Base labor required per bed per week</t>
        </is>
      </c>
    </row>
    <row r="19">
      <c r="A19" s="8" t="inlineStr">
        <is>
          <t>Mesclun</t>
        </is>
      </c>
      <c r="B19" s="9" t="inlineStr">
        <is>
          <t>MES_DIM_PCT</t>
        </is>
      </c>
      <c r="C19" s="14" t="n">
        <v>0.0125</v>
      </c>
      <c r="D19" s="8" t="inlineStr">
        <is>
          <t>% penalty</t>
        </is>
      </c>
      <c r="E19" s="8" t="inlineStr">
        <is>
          <t>Diminishing returns labor penalty rate</t>
        </is>
      </c>
    </row>
    <row r="20">
      <c r="A20" s="5" t="inlineStr">
        <is>
          <t>Mesclun</t>
        </is>
      </c>
      <c r="B20" s="6" t="inlineStr">
        <is>
          <t>MES_MAX_BEDS</t>
        </is>
      </c>
      <c r="C20" s="12" t="n">
        <v>30</v>
      </c>
      <c r="D20" s="5" t="inlineStr">
        <is>
          <t>beds</t>
        </is>
      </c>
      <c r="E20" s="5" t="inlineStr">
        <is>
          <t>Maximum bed capacity for mesclun</t>
        </is>
      </c>
    </row>
    <row r="21">
      <c r="A21" s="8" t="inlineStr">
        <is>
          <t>Farm Operations</t>
        </is>
      </c>
      <c r="B21" s="9" t="inlineStr">
        <is>
          <t>WEEKS</t>
        </is>
      </c>
      <c r="C21" s="12" t="n">
        <v>36</v>
      </c>
      <c r="D21" s="8" t="inlineStr">
        <is>
          <t>weeks / season</t>
        </is>
      </c>
      <c r="E21" s="8" t="inlineStr">
        <is>
          <t>Total weeks in growing season</t>
        </is>
      </c>
    </row>
    <row r="22">
      <c r="A22" s="5" t="inlineStr">
        <is>
          <t>Farm Operations</t>
        </is>
      </c>
      <c r="B22" s="6" t="inlineStr">
        <is>
          <t>FARM_MAX_BEDS</t>
        </is>
      </c>
      <c r="C22" s="12" t="n">
        <v>64</v>
      </c>
      <c r="D22" s="5" t="inlineStr">
        <is>
          <t>beds</t>
        </is>
      </c>
      <c r="E22" s="5" t="inlineStr">
        <is>
          <t>Total available land capacity</t>
        </is>
      </c>
    </row>
    <row r="23">
      <c r="A23" s="8" t="inlineStr">
        <is>
          <t>Labor Cap</t>
        </is>
      </c>
      <c r="B23" s="9" t="inlineStr">
        <is>
          <t>OWNER_HRS_CAP</t>
        </is>
      </c>
      <c r="C23" s="15" t="n">
        <v>720</v>
      </c>
      <c r="D23" s="8" t="inlineStr">
        <is>
          <t>hours</t>
        </is>
      </c>
      <c r="E23" s="8" t="inlineStr">
        <is>
          <t>Maximum available owner labor hours</t>
        </is>
      </c>
    </row>
    <row r="24">
      <c r="A24" s="5" t="inlineStr">
        <is>
          <t>Labor Rate</t>
        </is>
      </c>
      <c r="B24" s="6" t="inlineStr">
        <is>
          <t>OWNER_RATE</t>
        </is>
      </c>
      <c r="C24" s="16" t="n">
        <v>34.72</v>
      </c>
      <c r="D24" s="5" t="inlineStr">
        <is>
          <t>USD / hr</t>
        </is>
      </c>
      <c r="E24" s="5" t="inlineStr">
        <is>
          <t>Hourly cost rate for owner labor</t>
        </is>
      </c>
    </row>
    <row r="25">
      <c r="A25" s="8" t="inlineStr">
        <is>
          <t>Labor Cap</t>
        </is>
      </c>
      <c r="B25" s="9" t="inlineStr">
        <is>
          <t>TEMP_HRS_CAP</t>
        </is>
      </c>
      <c r="C25" s="15" t="n">
        <v>5760</v>
      </c>
      <c r="D25" s="8" t="inlineStr">
        <is>
          <t>hours</t>
        </is>
      </c>
      <c r="E25" s="8" t="inlineStr">
        <is>
          <t>Maximum available temp worker hours</t>
        </is>
      </c>
    </row>
    <row r="26">
      <c r="A26" s="5" t="inlineStr">
        <is>
          <t>Labor Rate</t>
        </is>
      </c>
      <c r="B26" s="6" t="inlineStr">
        <is>
          <t>TEMP_RATE</t>
        </is>
      </c>
      <c r="C26" s="16" t="n">
        <v>17.36</v>
      </c>
      <c r="D26" s="5" t="inlineStr">
        <is>
          <t>USD / hr</t>
        </is>
      </c>
      <c r="E26" s="5" t="inlineStr">
        <is>
          <t>Hourly cost rate for temp labor</t>
        </is>
      </c>
    </row>
    <row r="27">
      <c r="A27" s="8" t="inlineStr">
        <is>
          <t>Labor Cap</t>
        </is>
      </c>
      <c r="B27" s="9" t="inlineStr">
        <is>
          <t>TOTAL_LABOR_CAP</t>
        </is>
      </c>
      <c r="C27" s="15" t="n">
        <v>6480</v>
      </c>
      <c r="D27" s="8" t="inlineStr">
        <is>
          <t>hours</t>
        </is>
      </c>
      <c r="E27" s="8" t="inlineStr">
        <is>
          <t>Total farm seasonal labor hours cap</t>
        </is>
      </c>
    </row>
    <row r="28">
      <c r="A28" s="5" t="inlineStr">
        <is>
          <t>Overhead</t>
        </is>
      </c>
      <c r="B28" s="6" t="inlineStr">
        <is>
          <t>FIXED_OVERHEAD</t>
        </is>
      </c>
      <c r="C28" s="7" t="n">
        <v>20000</v>
      </c>
      <c r="D28" s="5" t="inlineStr">
        <is>
          <t>USD / season</t>
        </is>
      </c>
      <c r="E28" s="5" t="inlineStr">
        <is>
          <t>Fixed seasonal overhead expenses</t>
        </is>
      </c>
    </row>
    <row r="30">
      <c r="A30" s="17" t="inlineStr">
        <is>
          <t>2. DECISION VARIABLES &amp; BED ALLOCATION</t>
        </is>
      </c>
    </row>
    <row r="31">
      <c r="A31" s="4" t="inlineStr">
        <is>
          <t>Crop</t>
        </is>
      </c>
      <c r="B31" s="4" t="inlineStr">
        <is>
          <t>Variable Name</t>
        </is>
      </c>
      <c r="C31" s="4" t="inlineStr">
        <is>
          <t>Planted Beds</t>
        </is>
      </c>
      <c r="D31" s="4" t="inlineStr">
        <is>
          <t>Max Beds Cap</t>
        </is>
      </c>
      <c r="E31" s="4" t="inlineStr">
        <is>
          <t>Utilization</t>
        </is>
      </c>
      <c r="F31" s="4" t="inlineStr">
        <is>
          <t>Status / Constraint</t>
        </is>
      </c>
    </row>
    <row r="32">
      <c r="A32" s="5" t="inlineStr">
        <is>
          <t>Tomato</t>
        </is>
      </c>
      <c r="B32" s="6" t="inlineStr">
        <is>
          <t>BEDS_TOMATO</t>
        </is>
      </c>
      <c r="C32" s="18" t="n">
        <v>10</v>
      </c>
      <c r="D32" s="19">
        <f>TOM_MAX_BEDS</f>
        <v/>
      </c>
      <c r="E32" s="20">
        <f>C32/D32</f>
        <v/>
      </c>
      <c r="F32" s="21">
        <f>IF(C32&lt;=D32,"OK (Within Limit)","EXCEEDED CAP")</f>
        <v/>
      </c>
    </row>
    <row r="33">
      <c r="A33" s="5" t="inlineStr">
        <is>
          <t>Carrot</t>
        </is>
      </c>
      <c r="B33" s="6" t="inlineStr">
        <is>
          <t>BEDS_CARROT</t>
        </is>
      </c>
      <c r="C33" s="18" t="n">
        <v>20</v>
      </c>
      <c r="D33" s="19">
        <f>CAR_MAX_BEDS</f>
        <v/>
      </c>
      <c r="E33" s="20">
        <f>C33/D33</f>
        <v/>
      </c>
      <c r="F33" s="21">
        <f>IF(C33&lt;=D33,"OK (Within Limit)","EXCEEDED CAP")</f>
        <v/>
      </c>
    </row>
    <row r="34">
      <c r="A34" s="5" t="inlineStr">
        <is>
          <t>Mesclun</t>
        </is>
      </c>
      <c r="B34" s="6" t="inlineStr">
        <is>
          <t>BEDS_MESCLUN</t>
        </is>
      </c>
      <c r="C34" s="18" t="n">
        <v>30</v>
      </c>
      <c r="D34" s="19">
        <f>MES_MAX_BEDS</f>
        <v/>
      </c>
      <c r="E34" s="20">
        <f>C34/D34</f>
        <v/>
      </c>
      <c r="F34" s="21">
        <f>IF(C34&lt;=D34,"OK (Within Limit)","EXCEEDED CAP")</f>
        <v/>
      </c>
    </row>
    <row r="35">
      <c r="A35" s="22" t="inlineStr">
        <is>
          <t>Total Planted Beds</t>
        </is>
      </c>
      <c r="B35" s="22" t="inlineStr">
        <is>
          <t>TOTAL_PLANTED_BEDS</t>
        </is>
      </c>
      <c r="C35" s="23">
        <f>SUM(C32:C34)</f>
        <v/>
      </c>
      <c r="D35" s="24">
        <f>FARM_MAX_BEDS</f>
        <v/>
      </c>
      <c r="E35" s="25">
        <f>C35/D35</f>
        <v/>
      </c>
      <c r="F35" s="26">
        <f>IF(C35&lt;=D35,"OK (Within Land Cap)","LAND OVER CAPACITY")</f>
        <v/>
      </c>
    </row>
    <row r="37">
      <c r="A37" s="17" t="inlineStr">
        <is>
          <t>3. COST STRUCTURE &amp; SEASONAL P&amp;L STATEMENT</t>
        </is>
      </c>
    </row>
    <row r="38">
      <c r="A38" s="4" t="inlineStr">
        <is>
          <t>Metric / Line Item</t>
        </is>
      </c>
      <c r="B38" s="4" t="inlineStr">
        <is>
          <t>Defined Name</t>
        </is>
      </c>
      <c r="C38" s="4" t="inlineStr">
        <is>
          <t>Value / Output</t>
        </is>
      </c>
      <c r="D38" s="4" t="inlineStr">
        <is>
          <t>Unit</t>
        </is>
      </c>
      <c r="E38" s="4" t="inlineStr">
        <is>
          <t>Formula / Specification Logic</t>
        </is>
      </c>
    </row>
    <row r="39">
      <c r="A39" s="5" t="inlineStr">
        <is>
          <t>Tomato Labor Hours</t>
        </is>
      </c>
      <c r="B39" s="27" t="inlineStr">
        <is>
          <t>LABOR_HRS_TOMATO</t>
        </is>
      </c>
      <c r="C39" s="28">
        <f>BEDS_TOMATO*TOM_BASE_HRS*WEEKS*(1+TOM_DIM_PCT)^BEDS_TOMATO</f>
        <v/>
      </c>
      <c r="D39" s="5" t="inlineStr">
        <is>
          <t>hours</t>
        </is>
      </c>
      <c r="E39" s="5" t="inlineStr">
        <is>
          <t>BEDS_TOMATO * TOM_BASE_HRS * WEEKS * (1+TOM_DIM_PCT)^BEDS_TOMATO</t>
        </is>
      </c>
    </row>
    <row r="40">
      <c r="A40" s="5" t="inlineStr">
        <is>
          <t>Carrot Labor Hours</t>
        </is>
      </c>
      <c r="B40" s="27" t="inlineStr">
        <is>
          <t>LABOR_HRS_CARROT</t>
        </is>
      </c>
      <c r="C40" s="28">
        <f>BEDS_CARROT*CAR_BASE_HRS*WEEKS*(1+CAR_DIM_PCT)^BEDS_CARROT</f>
        <v/>
      </c>
      <c r="D40" s="5" t="inlineStr">
        <is>
          <t>hours</t>
        </is>
      </c>
      <c r="E40" s="5" t="inlineStr">
        <is>
          <t>BEDS_CARROT * CAR_BASE_HRS * WEEKS * (1+CAR_DIM_PCT)^BEDS_CARROT</t>
        </is>
      </c>
    </row>
    <row r="41">
      <c r="A41" s="5" t="inlineStr">
        <is>
          <t>Mesclun Labor Hours</t>
        </is>
      </c>
      <c r="B41" s="27" t="inlineStr">
        <is>
          <t>LABOR_HRS_MESCLUN</t>
        </is>
      </c>
      <c r="C41" s="28">
        <f>BEDS_MESCLUN*MES_BASE_HRS*WEEKS*(1+MES_DIM_PCT)^BEDS_MESCLUN</f>
        <v/>
      </c>
      <c r="D41" s="5" t="inlineStr">
        <is>
          <t>hours</t>
        </is>
      </c>
      <c r="E41" s="5" t="inlineStr">
        <is>
          <t>BEDS_MESCLUN * MES_BASE_HRS * WEEKS * (1+MES_DIM_PCT)^BEDS_MESCLUN</t>
        </is>
      </c>
    </row>
    <row r="42">
      <c r="A42" s="6" t="inlineStr">
        <is>
          <t>Total Farm Labor Hours</t>
        </is>
      </c>
      <c r="B42" s="6" t="inlineStr">
        <is>
          <t>TOTAL_LABOR_HRS</t>
        </is>
      </c>
      <c r="C42" s="29">
        <f>LABOR_HRS_TOMATO+LABOR_HRS_CARROT+LABOR_HRS_MESCLUN</f>
        <v/>
      </c>
      <c r="D42" s="5" t="inlineStr">
        <is>
          <t>hours</t>
        </is>
      </c>
      <c r="E42" s="5" t="inlineStr">
        <is>
          <t>LABOR_HRS_TOMATO + LABOR_HRS_CARROT + LABOR_HRS_MESCLUN</t>
        </is>
      </c>
    </row>
    <row r="43">
      <c r="A43" s="5" t="inlineStr">
        <is>
          <t>Owner Hours Used</t>
        </is>
      </c>
      <c r="B43" s="27" t="inlineStr">
        <is>
          <t>OWNER_HRS_USED</t>
        </is>
      </c>
      <c r="C43" s="30">
        <f>MIN(TOTAL_LABOR_HRS, OWNER_HRS_CAP)</f>
        <v/>
      </c>
      <c r="D43" s="5" t="inlineStr">
        <is>
          <t>hours</t>
        </is>
      </c>
      <c r="E43" s="5" t="inlineStr">
        <is>
          <t>MIN(TOTAL_LABOR_HRS, OWNER_HRS_CAP)</t>
        </is>
      </c>
    </row>
    <row r="44">
      <c r="A44" s="5" t="inlineStr">
        <is>
          <t>Temp Labor Hours Used</t>
        </is>
      </c>
      <c r="B44" s="27" t="inlineStr">
        <is>
          <t>TEMP_HRS_USED</t>
        </is>
      </c>
      <c r="C44" s="30">
        <f>MAX(0, TOTAL_LABOR_HRS-OWNER_HRS_CAP)</f>
        <v/>
      </c>
      <c r="D44" s="5" t="inlineStr">
        <is>
          <t>hours</t>
        </is>
      </c>
      <c r="E44" s="5" t="inlineStr">
        <is>
          <t>MAX(0, TOTAL_LABOR_HRS - OWNER_HRS_CAP)</t>
        </is>
      </c>
    </row>
    <row r="45">
      <c r="A45" s="5" t="inlineStr">
        <is>
          <t>Owner Labor Cost</t>
        </is>
      </c>
      <c r="B45" s="27" t="inlineStr">
        <is>
          <t>OWNER_LABOR_COST</t>
        </is>
      </c>
      <c r="C45" s="31">
        <f>OWNER_HRS_USED*OWNER_RATE</f>
        <v/>
      </c>
      <c r="D45" s="5" t="inlineStr">
        <is>
          <t>USD</t>
        </is>
      </c>
      <c r="E45" s="5" t="inlineStr">
        <is>
          <t>OWNER_HRS_USED * OWNER_RATE</t>
        </is>
      </c>
    </row>
    <row r="46">
      <c r="A46" s="5" t="inlineStr">
        <is>
          <t>Temp Labor Cost</t>
        </is>
      </c>
      <c r="B46" s="27" t="inlineStr">
        <is>
          <t>TEMP_LABOR_COST</t>
        </is>
      </c>
      <c r="C46" s="31">
        <f>TEMP_HRS_USED*TEMP_RATE</f>
        <v/>
      </c>
      <c r="D46" s="5" t="inlineStr">
        <is>
          <t>USD</t>
        </is>
      </c>
      <c r="E46" s="5" t="inlineStr">
        <is>
          <t>TEMP_HRS_USED * TEMP_RATE</t>
        </is>
      </c>
    </row>
    <row r="47">
      <c r="A47" s="32" t="inlineStr">
        <is>
          <t>Total Labor Cost</t>
        </is>
      </c>
      <c r="B47" s="32" t="inlineStr">
        <is>
          <t>TOTAL_LABOR_COST</t>
        </is>
      </c>
      <c r="C47" s="33">
        <f>OWNER_LABOR_COST+TEMP_LABOR_COST</f>
        <v/>
      </c>
      <c r="D47" s="34" t="inlineStr">
        <is>
          <t>USD</t>
        </is>
      </c>
      <c r="E47" s="34" t="inlineStr">
        <is>
          <t>(OWNER_HRS_USED * OWNER_RATE) + (TEMP_HRS_USED * TEMP_RATE)</t>
        </is>
      </c>
    </row>
    <row r="48">
      <c r="A48" s="5" t="inlineStr">
        <is>
          <t>Blended Labor Rate</t>
        </is>
      </c>
      <c r="B48" s="27" t="inlineStr">
        <is>
          <t>BLENDED_LABOR_RATE</t>
        </is>
      </c>
      <c r="C48" s="35">
        <f>TOTAL_LABOR_COST/TOTAL_LABOR_HRS</f>
        <v/>
      </c>
      <c r="D48" s="5" t="inlineStr">
        <is>
          <t>USD / hr</t>
        </is>
      </c>
      <c r="E48" s="5" t="inlineStr">
        <is>
          <t>TOTAL_LABOR_COST / TOTAL_LABOR_HRS</t>
        </is>
      </c>
    </row>
    <row r="49">
      <c r="A49" s="32" t="inlineStr">
        <is>
          <t>Total Revenue</t>
        </is>
      </c>
      <c r="B49" s="32" t="inlineStr">
        <is>
          <t>TOTAL_REVENUE</t>
        </is>
      </c>
      <c r="C49" s="33">
        <f>(BEDS_TOMATO*TOM_PRICE)+(BEDS_CARROT*CAR_PRICE)+(BEDS_MESCLUN*MES_PRICE)</f>
        <v/>
      </c>
      <c r="D49" s="34" t="inlineStr">
        <is>
          <t>USD</t>
        </is>
      </c>
      <c r="E49" s="34" t="inlineStr">
        <is>
          <t>(BEDS_TOMATO * TOM_PRICE) + (BEDS_CARROT * CAR_PRICE) + (BEDS_MESCLUN * MES_PRICE)</t>
        </is>
      </c>
    </row>
    <row r="50">
      <c r="A50" s="5" t="inlineStr">
        <is>
          <t>Total Fertilizer Expense</t>
        </is>
      </c>
      <c r="B50" s="27" t="inlineStr">
        <is>
          <t>TOTAL_FERTILIZER</t>
        </is>
      </c>
      <c r="C50" s="31">
        <f>(BEDS_TOMATO*TOM_FERT)+(BEDS_CARROT*CAR_FERT)+(BEDS_MESCLUN*MES_FERT)</f>
        <v/>
      </c>
      <c r="D50" s="5" t="inlineStr">
        <is>
          <t>USD</t>
        </is>
      </c>
      <c r="E50" s="5" t="inlineStr">
        <is>
          <t>(BEDS_TOMATO * TOM_FERT) + (BEDS_CARROT * CAR_FERT) + (BEDS_MESCLUN * MES_FERT)</t>
        </is>
      </c>
    </row>
    <row r="51">
      <c r="A51" s="5" t="inlineStr">
        <is>
          <t>Fixed Seasonal Overhead</t>
        </is>
      </c>
      <c r="B51" s="27" t="inlineStr">
        <is>
          <t>FIXED_OVERHEAD_EXP</t>
        </is>
      </c>
      <c r="C51" s="31">
        <f>FIXED_OVERHEAD</f>
        <v/>
      </c>
      <c r="D51" s="5" t="inlineStr">
        <is>
          <t>USD</t>
        </is>
      </c>
      <c r="E51" s="5" t="inlineStr">
        <is>
          <t>FIXED_OVERHEAD ($20,000)</t>
        </is>
      </c>
    </row>
    <row r="52">
      <c r="A52" s="32" t="inlineStr">
        <is>
          <t>Net Seasonal Profit</t>
        </is>
      </c>
      <c r="B52" s="32" t="inlineStr">
        <is>
          <t>SEASON_PROFIT</t>
        </is>
      </c>
      <c r="C52" s="33">
        <f>TOTAL_REVENUE-TOTAL_FERTILIZER-TOTAL_LABOR_COST-FIXED_OVERHEAD</f>
        <v/>
      </c>
      <c r="D52" s="34" t="inlineStr">
        <is>
          <t>USD</t>
        </is>
      </c>
      <c r="E52" s="34" t="inlineStr">
        <is>
          <t>TOTAL_REVENUE - TOTAL_FERTILIZER - TOTAL_LABOR_COST - FIXED_OVERHEAD</t>
        </is>
      </c>
    </row>
    <row r="55">
      <c r="A55" s="17" t="inlineStr">
        <is>
          <t>4. OPTIMIZATION CONSTRAINTS &amp; SOLVER AUDIT STATUS</t>
        </is>
      </c>
    </row>
    <row r="56">
      <c r="A56" s="4" t="inlineStr">
        <is>
          <t>Constraint Category</t>
        </is>
      </c>
      <c r="B56" s="4" t="inlineStr">
        <is>
          <t>Actual Usage</t>
        </is>
      </c>
      <c r="C56" s="4" t="inlineStr">
        <is>
          <t>Constraint Relation</t>
        </is>
      </c>
      <c r="D56" s="4" t="inlineStr">
        <is>
          <t>Limit / Cap</t>
        </is>
      </c>
      <c r="E56" s="4" t="inlineStr">
        <is>
          <t>Slack / Remaining</t>
        </is>
      </c>
      <c r="F56" s="4" t="inlineStr">
        <is>
          <t>Status</t>
        </is>
      </c>
    </row>
    <row r="57">
      <c r="A57" s="5" t="inlineStr">
        <is>
          <t>Tomato Bed Limit</t>
        </is>
      </c>
      <c r="B57" s="36">
        <f>BEDS_TOMATO</f>
        <v/>
      </c>
      <c r="C57" s="21" t="inlineStr">
        <is>
          <t>&lt;=</t>
        </is>
      </c>
      <c r="D57" s="36">
        <f>TOM_MAX_BEDS</f>
        <v/>
      </c>
      <c r="E57" s="19">
        <f>D57-B57</f>
        <v/>
      </c>
      <c r="F57" s="37">
        <f>IF(B57&lt;=D57,"SATISFIED","VIOLATED")</f>
        <v/>
      </c>
    </row>
    <row r="58">
      <c r="A58" s="5" t="inlineStr">
        <is>
          <t>Carrot Bed Limit</t>
        </is>
      </c>
      <c r="B58" s="36">
        <f>BEDS_CARROT</f>
        <v/>
      </c>
      <c r="C58" s="21" t="inlineStr">
        <is>
          <t>&lt;=</t>
        </is>
      </c>
      <c r="D58" s="36">
        <f>CAR_MAX_BEDS</f>
        <v/>
      </c>
      <c r="E58" s="19">
        <f>D58-B58</f>
        <v/>
      </c>
      <c r="F58" s="37">
        <f>IF(B58&lt;=D58,"SATISFIED","VIOLATED")</f>
        <v/>
      </c>
    </row>
    <row r="59">
      <c r="A59" s="5" t="inlineStr">
        <is>
          <t>Mesclun Bed Limit</t>
        </is>
      </c>
      <c r="B59" s="36">
        <f>BEDS_MESCLUN</f>
        <v/>
      </c>
      <c r="C59" s="21" t="inlineStr">
        <is>
          <t>&lt;=</t>
        </is>
      </c>
      <c r="D59" s="36">
        <f>MES_MAX_BEDS</f>
        <v/>
      </c>
      <c r="E59" s="19">
        <f>D59-B59</f>
        <v/>
      </c>
      <c r="F59" s="37">
        <f>IF(B59&lt;=D59,"SATISFIED","VIOLATED")</f>
        <v/>
      </c>
    </row>
    <row r="60">
      <c r="A60" s="5" t="inlineStr">
        <is>
          <t>Farm Total Land Cap</t>
        </is>
      </c>
      <c r="B60" s="36">
        <f>TOTAL_PLANTED_BEDS</f>
        <v/>
      </c>
      <c r="C60" s="21" t="inlineStr">
        <is>
          <t>&lt;=</t>
        </is>
      </c>
      <c r="D60" s="36">
        <f>FARM_MAX_BEDS</f>
        <v/>
      </c>
      <c r="E60" s="19">
        <f>D60-B60</f>
        <v/>
      </c>
      <c r="F60" s="37">
        <f>IF(B60&lt;=D60,"SATISFIED","VIOLATED")</f>
        <v/>
      </c>
    </row>
    <row r="61">
      <c r="A61" s="5" t="inlineStr">
        <is>
          <t>Farm Total Labor Cap</t>
        </is>
      </c>
      <c r="B61" s="38">
        <f>TOTAL_LABOR_HRS</f>
        <v/>
      </c>
      <c r="C61" s="21" t="inlineStr">
        <is>
          <t>&lt;=</t>
        </is>
      </c>
      <c r="D61" s="38">
        <f>TOTAL_LABOR_CAP</f>
        <v/>
      </c>
      <c r="E61" s="39">
        <f>D61-B61</f>
        <v/>
      </c>
      <c r="F61" s="37">
        <f>IF(B61&lt;=D61,"SATISFIED","VIOLATED")</f>
        <v/>
      </c>
    </row>
  </sheetData>
  <mergeCells count="6">
    <mergeCell ref="A1:G1"/>
    <mergeCell ref="A55:G55"/>
    <mergeCell ref="A4:G4"/>
    <mergeCell ref="A30:G30"/>
    <mergeCell ref="A2:G2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2" customWidth="1" min="4" max="4"/>
    <col width="18" customWidth="1" min="5" max="5"/>
    <col width="22" customWidth="1" min="6" max="6"/>
    <col width="16" customWidth="1" min="7" max="7"/>
    <col width="24" customWidth="1" min="8" max="8"/>
  </cols>
  <sheetData>
    <row r="1">
      <c r="A1" s="1" t="inlineStr">
        <is>
          <t>Marginal-Cost Schedules &amp; Price Comparisons</t>
        </is>
      </c>
    </row>
    <row r="2">
      <c r="A2" s="2" t="inlineStr">
        <is>
          <t>Incremental Labor, Marginal Labor Cost, Total MC vs Price (P) per Bed</t>
        </is>
      </c>
    </row>
    <row r="4">
      <c r="A4" s="3" t="inlineStr">
        <is>
          <t>Tomato Marginal-Cost Schedule</t>
        </is>
      </c>
    </row>
    <row r="5">
      <c r="A5" s="4" t="inlineStr">
        <is>
          <t>Bed (q)</t>
        </is>
      </c>
      <c r="B5" s="4" t="inlineStr">
        <is>
          <t>Cumulative Hours</t>
        </is>
      </c>
      <c r="C5" s="4" t="inlineStr">
        <is>
          <t>Marginal Hours</t>
        </is>
      </c>
      <c r="D5" s="4" t="inlineStr">
        <is>
          <t>Marginal Labor Cost</t>
        </is>
      </c>
      <c r="E5" s="4" t="inlineStr">
        <is>
          <t>Fertilizer Cost</t>
        </is>
      </c>
      <c r="F5" s="4" t="inlineStr">
        <is>
          <t>Total MC (MC)</t>
        </is>
      </c>
      <c r="G5" s="4" t="inlineStr">
        <is>
          <t>Price (P)</t>
        </is>
      </c>
      <c r="H5" s="4" t="inlineStr">
        <is>
          <t>Marginal Profit (P - MC)</t>
        </is>
      </c>
    </row>
    <row r="6">
      <c r="A6" s="40" t="n">
        <v>1</v>
      </c>
      <c r="B6" s="41">
        <f>1*TOM_BASE_HRS*WEEKS*(1+TOM_DIM_PCT)^1</f>
        <v/>
      </c>
      <c r="C6" s="42">
        <f>B6</f>
        <v/>
      </c>
      <c r="D6" s="43">
        <f>IF(B6&lt;=OWNER_HRS_CAP, C6*OWNER_RATE, IF(0&gt;=OWNER_HRS_CAP, C6*TEMP_RATE, (OWNER_HRS_CAP-0)*OWNER_RATE + (B6-OWNER_HRS_CAP)*TEMP_RATE))</f>
        <v/>
      </c>
      <c r="E6" s="44">
        <f>TOM_FERT</f>
        <v/>
      </c>
      <c r="F6" s="45">
        <f>D6+E6</f>
        <v/>
      </c>
      <c r="G6" s="46">
        <f>TOM_PRICE</f>
        <v/>
      </c>
      <c r="H6" s="45">
        <f>G6-F6</f>
        <v/>
      </c>
    </row>
    <row r="7">
      <c r="A7" s="21" t="n">
        <v>2</v>
      </c>
      <c r="B7" s="47">
        <f>2*TOM_BASE_HRS*WEEKS*(1+TOM_DIM_PCT)^2</f>
        <v/>
      </c>
      <c r="C7" s="39">
        <f>B7-B6</f>
        <v/>
      </c>
      <c r="D7" s="48">
        <f>IF(B7&lt;=OWNER_HRS_CAP, C7*OWNER_RATE, IF(B6&gt;=OWNER_HRS_CAP, C7*TEMP_RATE, (OWNER_HRS_CAP-B6)*OWNER_RATE + (B7-OWNER_HRS_CAP)*TEMP_RATE))</f>
        <v/>
      </c>
      <c r="E7" s="49">
        <f>TOM_FERT</f>
        <v/>
      </c>
      <c r="F7" s="50">
        <f>D7+E7</f>
        <v/>
      </c>
      <c r="G7" s="51">
        <f>TOM_PRICE</f>
        <v/>
      </c>
      <c r="H7" s="50">
        <f>G7-F7</f>
        <v/>
      </c>
    </row>
    <row r="8">
      <c r="A8" s="40" t="n">
        <v>3</v>
      </c>
      <c r="B8" s="41">
        <f>3*TOM_BASE_HRS*WEEKS*(1+TOM_DIM_PCT)^3</f>
        <v/>
      </c>
      <c r="C8" s="42">
        <f>B8-B7</f>
        <v/>
      </c>
      <c r="D8" s="43">
        <f>IF(B8&lt;=OWNER_HRS_CAP, C8*OWNER_RATE, IF(B7&gt;=OWNER_HRS_CAP, C8*TEMP_RATE, (OWNER_HRS_CAP-B7)*OWNER_RATE + (B8-OWNER_HRS_CAP)*TEMP_RATE))</f>
        <v/>
      </c>
      <c r="E8" s="44">
        <f>TOM_FERT</f>
        <v/>
      </c>
      <c r="F8" s="45">
        <f>D8+E8</f>
        <v/>
      </c>
      <c r="G8" s="46">
        <f>TOM_PRICE</f>
        <v/>
      </c>
      <c r="H8" s="45">
        <f>G8-F8</f>
        <v/>
      </c>
    </row>
    <row r="9">
      <c r="A9" s="21" t="n">
        <v>4</v>
      </c>
      <c r="B9" s="47">
        <f>4*TOM_BASE_HRS*WEEKS*(1+TOM_DIM_PCT)^4</f>
        <v/>
      </c>
      <c r="C9" s="39">
        <f>B9-B8</f>
        <v/>
      </c>
      <c r="D9" s="48">
        <f>IF(B9&lt;=OWNER_HRS_CAP, C9*OWNER_RATE, IF(B8&gt;=OWNER_HRS_CAP, C9*TEMP_RATE, (OWNER_HRS_CAP-B8)*OWNER_RATE + (B9-OWNER_HRS_CAP)*TEMP_RATE))</f>
        <v/>
      </c>
      <c r="E9" s="49">
        <f>TOM_FERT</f>
        <v/>
      </c>
      <c r="F9" s="50">
        <f>D9+E9</f>
        <v/>
      </c>
      <c r="G9" s="51">
        <f>TOM_PRICE</f>
        <v/>
      </c>
      <c r="H9" s="50">
        <f>G9-F9</f>
        <v/>
      </c>
    </row>
    <row r="10">
      <c r="A10" s="40" t="n">
        <v>5</v>
      </c>
      <c r="B10" s="41">
        <f>5*TOM_BASE_HRS*WEEKS*(1+TOM_DIM_PCT)^5</f>
        <v/>
      </c>
      <c r="C10" s="42">
        <f>B10-B9</f>
        <v/>
      </c>
      <c r="D10" s="43">
        <f>IF(B10&lt;=OWNER_HRS_CAP, C10*OWNER_RATE, IF(B9&gt;=OWNER_HRS_CAP, C10*TEMP_RATE, (OWNER_HRS_CAP-B9)*OWNER_RATE + (B10-OWNER_HRS_CAP)*TEMP_RATE))</f>
        <v/>
      </c>
      <c r="E10" s="44">
        <f>TOM_FERT</f>
        <v/>
      </c>
      <c r="F10" s="45">
        <f>D10+E10</f>
        <v/>
      </c>
      <c r="G10" s="46">
        <f>TOM_PRICE</f>
        <v/>
      </c>
      <c r="H10" s="45">
        <f>G10-F10</f>
        <v/>
      </c>
    </row>
    <row r="11">
      <c r="A11" s="21" t="n">
        <v>6</v>
      </c>
      <c r="B11" s="47">
        <f>6*TOM_BASE_HRS*WEEKS*(1+TOM_DIM_PCT)^6</f>
        <v/>
      </c>
      <c r="C11" s="39">
        <f>B11-B10</f>
        <v/>
      </c>
      <c r="D11" s="48">
        <f>IF(B11&lt;=OWNER_HRS_CAP, C11*OWNER_RATE, IF(B10&gt;=OWNER_HRS_CAP, C11*TEMP_RATE, (OWNER_HRS_CAP-B10)*OWNER_RATE + (B11-OWNER_HRS_CAP)*TEMP_RATE))</f>
        <v/>
      </c>
      <c r="E11" s="49">
        <f>TOM_FERT</f>
        <v/>
      </c>
      <c r="F11" s="50">
        <f>D11+E11</f>
        <v/>
      </c>
      <c r="G11" s="51">
        <f>TOM_PRICE</f>
        <v/>
      </c>
      <c r="H11" s="50">
        <f>G11-F11</f>
        <v/>
      </c>
    </row>
    <row r="12">
      <c r="A12" s="40" t="n">
        <v>7</v>
      </c>
      <c r="B12" s="41">
        <f>7*TOM_BASE_HRS*WEEKS*(1+TOM_DIM_PCT)^7</f>
        <v/>
      </c>
      <c r="C12" s="42">
        <f>B12-B11</f>
        <v/>
      </c>
      <c r="D12" s="43">
        <f>IF(B12&lt;=OWNER_HRS_CAP, C12*OWNER_RATE, IF(B11&gt;=OWNER_HRS_CAP, C12*TEMP_RATE, (OWNER_HRS_CAP-B11)*OWNER_RATE + (B12-OWNER_HRS_CAP)*TEMP_RATE))</f>
        <v/>
      </c>
      <c r="E12" s="44">
        <f>TOM_FERT</f>
        <v/>
      </c>
      <c r="F12" s="45">
        <f>D12+E12</f>
        <v/>
      </c>
      <c r="G12" s="46">
        <f>TOM_PRICE</f>
        <v/>
      </c>
      <c r="H12" s="45">
        <f>G12-F12</f>
        <v/>
      </c>
    </row>
    <row r="13">
      <c r="A13" s="21" t="n">
        <v>8</v>
      </c>
      <c r="B13" s="47">
        <f>8*TOM_BASE_HRS*WEEKS*(1+TOM_DIM_PCT)^8</f>
        <v/>
      </c>
      <c r="C13" s="39">
        <f>B13-B12</f>
        <v/>
      </c>
      <c r="D13" s="48">
        <f>IF(B13&lt;=OWNER_HRS_CAP, C13*OWNER_RATE, IF(B12&gt;=OWNER_HRS_CAP, C13*TEMP_RATE, (OWNER_HRS_CAP-B12)*OWNER_RATE + (B13-OWNER_HRS_CAP)*TEMP_RATE))</f>
        <v/>
      </c>
      <c r="E13" s="49">
        <f>TOM_FERT</f>
        <v/>
      </c>
      <c r="F13" s="50">
        <f>D13+E13</f>
        <v/>
      </c>
      <c r="G13" s="51">
        <f>TOM_PRICE</f>
        <v/>
      </c>
      <c r="H13" s="50">
        <f>G13-F13</f>
        <v/>
      </c>
    </row>
    <row r="14">
      <c r="A14" s="40" t="n">
        <v>9</v>
      </c>
      <c r="B14" s="41">
        <f>9*TOM_BASE_HRS*WEEKS*(1+TOM_DIM_PCT)^9</f>
        <v/>
      </c>
      <c r="C14" s="42">
        <f>B14-B13</f>
        <v/>
      </c>
      <c r="D14" s="43">
        <f>IF(B14&lt;=OWNER_HRS_CAP, C14*OWNER_RATE, IF(B13&gt;=OWNER_HRS_CAP, C14*TEMP_RATE, (OWNER_HRS_CAP-B13)*OWNER_RATE + (B14-OWNER_HRS_CAP)*TEMP_RATE))</f>
        <v/>
      </c>
      <c r="E14" s="44">
        <f>TOM_FERT</f>
        <v/>
      </c>
      <c r="F14" s="45">
        <f>D14+E14</f>
        <v/>
      </c>
      <c r="G14" s="46">
        <f>TOM_PRICE</f>
        <v/>
      </c>
      <c r="H14" s="45">
        <f>G14-F14</f>
        <v/>
      </c>
    </row>
    <row r="15">
      <c r="A15" s="21" t="n">
        <v>10</v>
      </c>
      <c r="B15" s="47">
        <f>10*TOM_BASE_HRS*WEEKS*(1+TOM_DIM_PCT)^10</f>
        <v/>
      </c>
      <c r="C15" s="39">
        <f>B15-B14</f>
        <v/>
      </c>
      <c r="D15" s="48">
        <f>IF(B15&lt;=OWNER_HRS_CAP, C15*OWNER_RATE, IF(B14&gt;=OWNER_HRS_CAP, C15*TEMP_RATE, (OWNER_HRS_CAP-B14)*OWNER_RATE + (B15-OWNER_HRS_CAP)*TEMP_RATE))</f>
        <v/>
      </c>
      <c r="E15" s="49">
        <f>TOM_FERT</f>
        <v/>
      </c>
      <c r="F15" s="50">
        <f>D15+E15</f>
        <v/>
      </c>
      <c r="G15" s="51">
        <f>TOM_PRICE</f>
        <v/>
      </c>
      <c r="H15" s="50">
        <f>G15-F15</f>
        <v/>
      </c>
    </row>
    <row r="16">
      <c r="A16" s="40" t="n">
        <v>11</v>
      </c>
      <c r="B16" s="41">
        <f>11*TOM_BASE_HRS*WEEKS*(1+TOM_DIM_PCT)^11</f>
        <v/>
      </c>
      <c r="C16" s="42">
        <f>B16-B15</f>
        <v/>
      </c>
      <c r="D16" s="43">
        <f>IF(B16&lt;=OWNER_HRS_CAP, C16*OWNER_RATE, IF(B15&gt;=OWNER_HRS_CAP, C16*TEMP_RATE, (OWNER_HRS_CAP-B15)*OWNER_RATE + (B16-OWNER_HRS_CAP)*TEMP_RATE))</f>
        <v/>
      </c>
      <c r="E16" s="44">
        <f>TOM_FERT</f>
        <v/>
      </c>
      <c r="F16" s="45">
        <f>D16+E16</f>
        <v/>
      </c>
      <c r="G16" s="46">
        <f>TOM_PRICE</f>
        <v/>
      </c>
      <c r="H16" s="45">
        <f>G16-F16</f>
        <v/>
      </c>
    </row>
    <row r="17">
      <c r="A17" s="21" t="n">
        <v>12</v>
      </c>
      <c r="B17" s="47">
        <f>12*TOM_BASE_HRS*WEEKS*(1+TOM_DIM_PCT)^12</f>
        <v/>
      </c>
      <c r="C17" s="39">
        <f>B17-B16</f>
        <v/>
      </c>
      <c r="D17" s="48">
        <f>IF(B17&lt;=OWNER_HRS_CAP, C17*OWNER_RATE, IF(B16&gt;=OWNER_HRS_CAP, C17*TEMP_RATE, (OWNER_HRS_CAP-B16)*OWNER_RATE + (B17-OWNER_HRS_CAP)*TEMP_RATE))</f>
        <v/>
      </c>
      <c r="E17" s="49">
        <f>TOM_FERT</f>
        <v/>
      </c>
      <c r="F17" s="50">
        <f>D17+E17</f>
        <v/>
      </c>
      <c r="G17" s="51">
        <f>TOM_PRICE</f>
        <v/>
      </c>
      <c r="H17" s="50">
        <f>G17-F17</f>
        <v/>
      </c>
    </row>
    <row r="18">
      <c r="A18" s="40" t="n">
        <v>13</v>
      </c>
      <c r="B18" s="41">
        <f>13*TOM_BASE_HRS*WEEKS*(1+TOM_DIM_PCT)^13</f>
        <v/>
      </c>
      <c r="C18" s="42">
        <f>B18-B17</f>
        <v/>
      </c>
      <c r="D18" s="43">
        <f>IF(B18&lt;=OWNER_HRS_CAP, C18*OWNER_RATE, IF(B17&gt;=OWNER_HRS_CAP, C18*TEMP_RATE, (OWNER_HRS_CAP-B17)*OWNER_RATE + (B18-OWNER_HRS_CAP)*TEMP_RATE))</f>
        <v/>
      </c>
      <c r="E18" s="44">
        <f>TOM_FERT</f>
        <v/>
      </c>
      <c r="F18" s="45">
        <f>D18+E18</f>
        <v/>
      </c>
      <c r="G18" s="46">
        <f>TOM_PRICE</f>
        <v/>
      </c>
      <c r="H18" s="45">
        <f>G18-F18</f>
        <v/>
      </c>
    </row>
    <row r="19">
      <c r="A19" s="21" t="n">
        <v>14</v>
      </c>
      <c r="B19" s="47">
        <f>14*TOM_BASE_HRS*WEEKS*(1+TOM_DIM_PCT)^14</f>
        <v/>
      </c>
      <c r="C19" s="39">
        <f>B19-B18</f>
        <v/>
      </c>
      <c r="D19" s="48">
        <f>IF(B19&lt;=OWNER_HRS_CAP, C19*OWNER_RATE, IF(B18&gt;=OWNER_HRS_CAP, C19*TEMP_RATE, (OWNER_HRS_CAP-B18)*OWNER_RATE + (B19-OWNER_HRS_CAP)*TEMP_RATE))</f>
        <v/>
      </c>
      <c r="E19" s="49">
        <f>TOM_FERT</f>
        <v/>
      </c>
      <c r="F19" s="50">
        <f>D19+E19</f>
        <v/>
      </c>
      <c r="G19" s="51">
        <f>TOM_PRICE</f>
        <v/>
      </c>
      <c r="H19" s="50">
        <f>G19-F19</f>
        <v/>
      </c>
    </row>
    <row r="20">
      <c r="A20" s="40" t="n">
        <v>15</v>
      </c>
      <c r="B20" s="41">
        <f>15*TOM_BASE_HRS*WEEKS*(1+TOM_DIM_PCT)^15</f>
        <v/>
      </c>
      <c r="C20" s="42">
        <f>B20-B19</f>
        <v/>
      </c>
      <c r="D20" s="43">
        <f>IF(B20&lt;=OWNER_HRS_CAP, C20*OWNER_RATE, IF(B19&gt;=OWNER_HRS_CAP, C20*TEMP_RATE, (OWNER_HRS_CAP-B19)*OWNER_RATE + (B20-OWNER_HRS_CAP)*TEMP_RATE))</f>
        <v/>
      </c>
      <c r="E20" s="44">
        <f>TOM_FERT</f>
        <v/>
      </c>
      <c r="F20" s="45">
        <f>D20+E20</f>
        <v/>
      </c>
      <c r="G20" s="46">
        <f>TOM_PRICE</f>
        <v/>
      </c>
      <c r="H20" s="45">
        <f>G20-F20</f>
        <v/>
      </c>
    </row>
    <row r="21">
      <c r="A21" s="21" t="n">
        <v>16</v>
      </c>
      <c r="B21" s="47">
        <f>16*TOM_BASE_HRS*WEEKS*(1+TOM_DIM_PCT)^16</f>
        <v/>
      </c>
      <c r="C21" s="39">
        <f>B21-B20</f>
        <v/>
      </c>
      <c r="D21" s="48">
        <f>IF(B21&lt;=OWNER_HRS_CAP, C21*OWNER_RATE, IF(B20&gt;=OWNER_HRS_CAP, C21*TEMP_RATE, (OWNER_HRS_CAP-B20)*OWNER_RATE + (B21-OWNER_HRS_CAP)*TEMP_RATE))</f>
        <v/>
      </c>
      <c r="E21" s="49">
        <f>TOM_FERT</f>
        <v/>
      </c>
      <c r="F21" s="50">
        <f>D21+E21</f>
        <v/>
      </c>
      <c r="G21" s="51">
        <f>TOM_PRICE</f>
        <v/>
      </c>
      <c r="H21" s="50">
        <f>G21-F21</f>
        <v/>
      </c>
    </row>
    <row r="22">
      <c r="A22" s="40" t="n">
        <v>17</v>
      </c>
      <c r="B22" s="41">
        <f>17*TOM_BASE_HRS*WEEKS*(1+TOM_DIM_PCT)^17</f>
        <v/>
      </c>
      <c r="C22" s="42">
        <f>B22-B21</f>
        <v/>
      </c>
      <c r="D22" s="43">
        <f>IF(B22&lt;=OWNER_HRS_CAP, C22*OWNER_RATE, IF(B21&gt;=OWNER_HRS_CAP, C22*TEMP_RATE, (OWNER_HRS_CAP-B21)*OWNER_RATE + (B22-OWNER_HRS_CAP)*TEMP_RATE))</f>
        <v/>
      </c>
      <c r="E22" s="44">
        <f>TOM_FERT</f>
        <v/>
      </c>
      <c r="F22" s="45">
        <f>D22+E22</f>
        <v/>
      </c>
      <c r="G22" s="46">
        <f>TOM_PRICE</f>
        <v/>
      </c>
      <c r="H22" s="45">
        <f>G22-F22</f>
        <v/>
      </c>
    </row>
    <row r="23">
      <c r="A23" s="21" t="n">
        <v>18</v>
      </c>
      <c r="B23" s="47">
        <f>18*TOM_BASE_HRS*WEEKS*(1+TOM_DIM_PCT)^18</f>
        <v/>
      </c>
      <c r="C23" s="39">
        <f>B23-B22</f>
        <v/>
      </c>
      <c r="D23" s="48">
        <f>IF(B23&lt;=OWNER_HRS_CAP, C23*OWNER_RATE, IF(B22&gt;=OWNER_HRS_CAP, C23*TEMP_RATE, (OWNER_HRS_CAP-B22)*OWNER_RATE + (B23-OWNER_HRS_CAP)*TEMP_RATE))</f>
        <v/>
      </c>
      <c r="E23" s="49">
        <f>TOM_FERT</f>
        <v/>
      </c>
      <c r="F23" s="50">
        <f>D23+E23</f>
        <v/>
      </c>
      <c r="G23" s="51">
        <f>TOM_PRICE</f>
        <v/>
      </c>
      <c r="H23" s="50">
        <f>G23-F23</f>
        <v/>
      </c>
    </row>
    <row r="24">
      <c r="A24" s="40" t="n">
        <v>19</v>
      </c>
      <c r="B24" s="41">
        <f>19*TOM_BASE_HRS*WEEKS*(1+TOM_DIM_PCT)^19</f>
        <v/>
      </c>
      <c r="C24" s="42">
        <f>B24-B23</f>
        <v/>
      </c>
      <c r="D24" s="43">
        <f>IF(B24&lt;=OWNER_HRS_CAP, C24*OWNER_RATE, IF(B23&gt;=OWNER_HRS_CAP, C24*TEMP_RATE, (OWNER_HRS_CAP-B23)*OWNER_RATE + (B24-OWNER_HRS_CAP)*TEMP_RATE))</f>
        <v/>
      </c>
      <c r="E24" s="44">
        <f>TOM_FERT</f>
        <v/>
      </c>
      <c r="F24" s="45">
        <f>D24+E24</f>
        <v/>
      </c>
      <c r="G24" s="46">
        <f>TOM_PRICE</f>
        <v/>
      </c>
      <c r="H24" s="45">
        <f>G24-F24</f>
        <v/>
      </c>
    </row>
    <row r="25">
      <c r="A25" s="21" t="n">
        <v>20</v>
      </c>
      <c r="B25" s="47">
        <f>20*TOM_BASE_HRS*WEEKS*(1+TOM_DIM_PCT)^20</f>
        <v/>
      </c>
      <c r="C25" s="39">
        <f>B25-B24</f>
        <v/>
      </c>
      <c r="D25" s="48">
        <f>IF(B25&lt;=OWNER_HRS_CAP, C25*OWNER_RATE, IF(B24&gt;=OWNER_HRS_CAP, C25*TEMP_RATE, (OWNER_HRS_CAP-B24)*OWNER_RATE + (B25-OWNER_HRS_CAP)*TEMP_RATE))</f>
        <v/>
      </c>
      <c r="E25" s="49">
        <f>TOM_FERT</f>
        <v/>
      </c>
      <c r="F25" s="50">
        <f>D25+E25</f>
        <v/>
      </c>
      <c r="G25" s="51">
        <f>TOM_PRICE</f>
        <v/>
      </c>
      <c r="H25" s="50">
        <f>G25-F25</f>
        <v/>
      </c>
    </row>
    <row r="27">
      <c r="A27" s="3" t="inlineStr">
        <is>
          <t>Carrot Marginal-Cost Schedule</t>
        </is>
      </c>
    </row>
    <row r="28">
      <c r="A28" s="4" t="inlineStr">
        <is>
          <t>Bed (q)</t>
        </is>
      </c>
      <c r="B28" s="4" t="inlineStr">
        <is>
          <t>Cumulative Hours</t>
        </is>
      </c>
      <c r="C28" s="4" t="inlineStr">
        <is>
          <t>Marginal Hours</t>
        </is>
      </c>
      <c r="D28" s="4" t="inlineStr">
        <is>
          <t>Marginal Labor Cost</t>
        </is>
      </c>
      <c r="E28" s="4" t="inlineStr">
        <is>
          <t>Fertilizer Cost</t>
        </is>
      </c>
      <c r="F28" s="4" t="inlineStr">
        <is>
          <t>Total MC (MC)</t>
        </is>
      </c>
      <c r="G28" s="4" t="inlineStr">
        <is>
          <t>Price (P)</t>
        </is>
      </c>
      <c r="H28" s="4" t="inlineStr">
        <is>
          <t>Marginal Profit (P - MC)</t>
        </is>
      </c>
    </row>
    <row r="29">
      <c r="A29" s="40" t="n">
        <v>1</v>
      </c>
      <c r="B29" s="41">
        <f>1*CAR_BASE_HRS*WEEKS*(1+CAR_DIM_PCT)^1</f>
        <v/>
      </c>
      <c r="C29" s="42">
        <f>B29</f>
        <v/>
      </c>
      <c r="D29" s="43">
        <f>IF(B29&lt;=OWNER_HRS_CAP, C29*OWNER_RATE, IF(0&gt;=OWNER_HRS_CAP, C29*TEMP_RATE, (OWNER_HRS_CAP-0)*OWNER_RATE + (B29-OWNER_HRS_CAP)*TEMP_RATE))</f>
        <v/>
      </c>
      <c r="E29" s="44">
        <f>CAR_FERT</f>
        <v/>
      </c>
      <c r="F29" s="45">
        <f>D29+E29</f>
        <v/>
      </c>
      <c r="G29" s="46">
        <f>CAR_PRICE</f>
        <v/>
      </c>
      <c r="H29" s="45">
        <f>G29-F29</f>
        <v/>
      </c>
    </row>
    <row r="30">
      <c r="A30" s="21" t="n">
        <v>2</v>
      </c>
      <c r="B30" s="47">
        <f>2*CAR_BASE_HRS*WEEKS*(1+CAR_DIM_PCT)^2</f>
        <v/>
      </c>
      <c r="C30" s="39">
        <f>B30-B29</f>
        <v/>
      </c>
      <c r="D30" s="48">
        <f>IF(B30&lt;=OWNER_HRS_CAP, C30*OWNER_RATE, IF(B29&gt;=OWNER_HRS_CAP, C30*TEMP_RATE, (OWNER_HRS_CAP-B29)*OWNER_RATE + (B30-OWNER_HRS_CAP)*TEMP_RATE))</f>
        <v/>
      </c>
      <c r="E30" s="49">
        <f>CAR_FERT</f>
        <v/>
      </c>
      <c r="F30" s="50">
        <f>D30+E30</f>
        <v/>
      </c>
      <c r="G30" s="51">
        <f>CAR_PRICE</f>
        <v/>
      </c>
      <c r="H30" s="50">
        <f>G30-F30</f>
        <v/>
      </c>
    </row>
    <row r="31">
      <c r="A31" s="40" t="n">
        <v>3</v>
      </c>
      <c r="B31" s="41">
        <f>3*CAR_BASE_HRS*WEEKS*(1+CAR_DIM_PCT)^3</f>
        <v/>
      </c>
      <c r="C31" s="42">
        <f>B31-B30</f>
        <v/>
      </c>
      <c r="D31" s="43">
        <f>IF(B31&lt;=OWNER_HRS_CAP, C31*OWNER_RATE, IF(B30&gt;=OWNER_HRS_CAP, C31*TEMP_RATE, (OWNER_HRS_CAP-B30)*OWNER_RATE + (B31-OWNER_HRS_CAP)*TEMP_RATE))</f>
        <v/>
      </c>
      <c r="E31" s="44">
        <f>CAR_FERT</f>
        <v/>
      </c>
      <c r="F31" s="45">
        <f>D31+E31</f>
        <v/>
      </c>
      <c r="G31" s="46">
        <f>CAR_PRICE</f>
        <v/>
      </c>
      <c r="H31" s="45">
        <f>G31-F31</f>
        <v/>
      </c>
    </row>
    <row r="32">
      <c r="A32" s="21" t="n">
        <v>4</v>
      </c>
      <c r="B32" s="47">
        <f>4*CAR_BASE_HRS*WEEKS*(1+CAR_DIM_PCT)^4</f>
        <v/>
      </c>
      <c r="C32" s="39">
        <f>B32-B31</f>
        <v/>
      </c>
      <c r="D32" s="48">
        <f>IF(B32&lt;=OWNER_HRS_CAP, C32*OWNER_RATE, IF(B31&gt;=OWNER_HRS_CAP, C32*TEMP_RATE, (OWNER_HRS_CAP-B31)*OWNER_RATE + (B32-OWNER_HRS_CAP)*TEMP_RATE))</f>
        <v/>
      </c>
      <c r="E32" s="49">
        <f>CAR_FERT</f>
        <v/>
      </c>
      <c r="F32" s="50">
        <f>D32+E32</f>
        <v/>
      </c>
      <c r="G32" s="51">
        <f>CAR_PRICE</f>
        <v/>
      </c>
      <c r="H32" s="50">
        <f>G32-F32</f>
        <v/>
      </c>
    </row>
    <row r="33">
      <c r="A33" s="40" t="n">
        <v>5</v>
      </c>
      <c r="B33" s="41">
        <f>5*CAR_BASE_HRS*WEEKS*(1+CAR_DIM_PCT)^5</f>
        <v/>
      </c>
      <c r="C33" s="42">
        <f>B33-B32</f>
        <v/>
      </c>
      <c r="D33" s="43">
        <f>IF(B33&lt;=OWNER_HRS_CAP, C33*OWNER_RATE, IF(B32&gt;=OWNER_HRS_CAP, C33*TEMP_RATE, (OWNER_HRS_CAP-B32)*OWNER_RATE + (B33-OWNER_HRS_CAP)*TEMP_RATE))</f>
        <v/>
      </c>
      <c r="E33" s="44">
        <f>CAR_FERT</f>
        <v/>
      </c>
      <c r="F33" s="45">
        <f>D33+E33</f>
        <v/>
      </c>
      <c r="G33" s="46">
        <f>CAR_PRICE</f>
        <v/>
      </c>
      <c r="H33" s="45">
        <f>G33-F33</f>
        <v/>
      </c>
    </row>
    <row r="34">
      <c r="A34" s="21" t="n">
        <v>6</v>
      </c>
      <c r="B34" s="47">
        <f>6*CAR_BASE_HRS*WEEKS*(1+CAR_DIM_PCT)^6</f>
        <v/>
      </c>
      <c r="C34" s="39">
        <f>B34-B33</f>
        <v/>
      </c>
      <c r="D34" s="48">
        <f>IF(B34&lt;=OWNER_HRS_CAP, C34*OWNER_RATE, IF(B33&gt;=OWNER_HRS_CAP, C34*TEMP_RATE, (OWNER_HRS_CAP-B33)*OWNER_RATE + (B34-OWNER_HRS_CAP)*TEMP_RATE))</f>
        <v/>
      </c>
      <c r="E34" s="49">
        <f>CAR_FERT</f>
        <v/>
      </c>
      <c r="F34" s="50">
        <f>D34+E34</f>
        <v/>
      </c>
      <c r="G34" s="51">
        <f>CAR_PRICE</f>
        <v/>
      </c>
      <c r="H34" s="50">
        <f>G34-F34</f>
        <v/>
      </c>
    </row>
    <row r="35">
      <c r="A35" s="40" t="n">
        <v>7</v>
      </c>
      <c r="B35" s="41">
        <f>7*CAR_BASE_HRS*WEEKS*(1+CAR_DIM_PCT)^7</f>
        <v/>
      </c>
      <c r="C35" s="42">
        <f>B35-B34</f>
        <v/>
      </c>
      <c r="D35" s="43">
        <f>IF(B35&lt;=OWNER_HRS_CAP, C35*OWNER_RATE, IF(B34&gt;=OWNER_HRS_CAP, C35*TEMP_RATE, (OWNER_HRS_CAP-B34)*OWNER_RATE + (B35-OWNER_HRS_CAP)*TEMP_RATE))</f>
        <v/>
      </c>
      <c r="E35" s="44">
        <f>CAR_FERT</f>
        <v/>
      </c>
      <c r="F35" s="45">
        <f>D35+E35</f>
        <v/>
      </c>
      <c r="G35" s="46">
        <f>CAR_PRICE</f>
        <v/>
      </c>
      <c r="H35" s="45">
        <f>G35-F35</f>
        <v/>
      </c>
    </row>
    <row r="36">
      <c r="A36" s="21" t="n">
        <v>8</v>
      </c>
      <c r="B36" s="47">
        <f>8*CAR_BASE_HRS*WEEKS*(1+CAR_DIM_PCT)^8</f>
        <v/>
      </c>
      <c r="C36" s="39">
        <f>B36-B35</f>
        <v/>
      </c>
      <c r="D36" s="48">
        <f>IF(B36&lt;=OWNER_HRS_CAP, C36*OWNER_RATE, IF(B35&gt;=OWNER_HRS_CAP, C36*TEMP_RATE, (OWNER_HRS_CAP-B35)*OWNER_RATE + (B36-OWNER_HRS_CAP)*TEMP_RATE))</f>
        <v/>
      </c>
      <c r="E36" s="49">
        <f>CAR_FERT</f>
        <v/>
      </c>
      <c r="F36" s="50">
        <f>D36+E36</f>
        <v/>
      </c>
      <c r="G36" s="51">
        <f>CAR_PRICE</f>
        <v/>
      </c>
      <c r="H36" s="50">
        <f>G36-F36</f>
        <v/>
      </c>
    </row>
    <row r="37">
      <c r="A37" s="40" t="n">
        <v>9</v>
      </c>
      <c r="B37" s="41">
        <f>9*CAR_BASE_HRS*WEEKS*(1+CAR_DIM_PCT)^9</f>
        <v/>
      </c>
      <c r="C37" s="42">
        <f>B37-B36</f>
        <v/>
      </c>
      <c r="D37" s="43">
        <f>IF(B37&lt;=OWNER_HRS_CAP, C37*OWNER_RATE, IF(B36&gt;=OWNER_HRS_CAP, C37*TEMP_RATE, (OWNER_HRS_CAP-B36)*OWNER_RATE + (B37-OWNER_HRS_CAP)*TEMP_RATE))</f>
        <v/>
      </c>
      <c r="E37" s="44">
        <f>CAR_FERT</f>
        <v/>
      </c>
      <c r="F37" s="45">
        <f>D37+E37</f>
        <v/>
      </c>
      <c r="G37" s="46">
        <f>CAR_PRICE</f>
        <v/>
      </c>
      <c r="H37" s="45">
        <f>G37-F37</f>
        <v/>
      </c>
    </row>
    <row r="38">
      <c r="A38" s="21" t="n">
        <v>10</v>
      </c>
      <c r="B38" s="47">
        <f>10*CAR_BASE_HRS*WEEKS*(1+CAR_DIM_PCT)^10</f>
        <v/>
      </c>
      <c r="C38" s="39">
        <f>B38-B37</f>
        <v/>
      </c>
      <c r="D38" s="48">
        <f>IF(B38&lt;=OWNER_HRS_CAP, C38*OWNER_RATE, IF(B37&gt;=OWNER_HRS_CAP, C38*TEMP_RATE, (OWNER_HRS_CAP-B37)*OWNER_RATE + (B38-OWNER_HRS_CAP)*TEMP_RATE))</f>
        <v/>
      </c>
      <c r="E38" s="49">
        <f>CAR_FERT</f>
        <v/>
      </c>
      <c r="F38" s="50">
        <f>D38+E38</f>
        <v/>
      </c>
      <c r="G38" s="51">
        <f>CAR_PRICE</f>
        <v/>
      </c>
      <c r="H38" s="50">
        <f>G38-F38</f>
        <v/>
      </c>
    </row>
    <row r="39">
      <c r="A39" s="40" t="n">
        <v>11</v>
      </c>
      <c r="B39" s="41">
        <f>11*CAR_BASE_HRS*WEEKS*(1+CAR_DIM_PCT)^11</f>
        <v/>
      </c>
      <c r="C39" s="42">
        <f>B39-B38</f>
        <v/>
      </c>
      <c r="D39" s="43">
        <f>IF(B39&lt;=OWNER_HRS_CAP, C39*OWNER_RATE, IF(B38&gt;=OWNER_HRS_CAP, C39*TEMP_RATE, (OWNER_HRS_CAP-B38)*OWNER_RATE + (B39-OWNER_HRS_CAP)*TEMP_RATE))</f>
        <v/>
      </c>
      <c r="E39" s="44">
        <f>CAR_FERT</f>
        <v/>
      </c>
      <c r="F39" s="45">
        <f>D39+E39</f>
        <v/>
      </c>
      <c r="G39" s="46">
        <f>CAR_PRICE</f>
        <v/>
      </c>
      <c r="H39" s="45">
        <f>G39-F39</f>
        <v/>
      </c>
    </row>
    <row r="40">
      <c r="A40" s="21" t="n">
        <v>12</v>
      </c>
      <c r="B40" s="47">
        <f>12*CAR_BASE_HRS*WEEKS*(1+CAR_DIM_PCT)^12</f>
        <v/>
      </c>
      <c r="C40" s="39">
        <f>B40-B39</f>
        <v/>
      </c>
      <c r="D40" s="48">
        <f>IF(B40&lt;=OWNER_HRS_CAP, C40*OWNER_RATE, IF(B39&gt;=OWNER_HRS_CAP, C40*TEMP_RATE, (OWNER_HRS_CAP-B39)*OWNER_RATE + (B40-OWNER_HRS_CAP)*TEMP_RATE))</f>
        <v/>
      </c>
      <c r="E40" s="49">
        <f>CAR_FERT</f>
        <v/>
      </c>
      <c r="F40" s="50">
        <f>D40+E40</f>
        <v/>
      </c>
      <c r="G40" s="51">
        <f>CAR_PRICE</f>
        <v/>
      </c>
      <c r="H40" s="50">
        <f>G40-F40</f>
        <v/>
      </c>
    </row>
    <row r="41">
      <c r="A41" s="40" t="n">
        <v>13</v>
      </c>
      <c r="B41" s="41">
        <f>13*CAR_BASE_HRS*WEEKS*(1+CAR_DIM_PCT)^13</f>
        <v/>
      </c>
      <c r="C41" s="42">
        <f>B41-B40</f>
        <v/>
      </c>
      <c r="D41" s="43">
        <f>IF(B41&lt;=OWNER_HRS_CAP, C41*OWNER_RATE, IF(B40&gt;=OWNER_HRS_CAP, C41*TEMP_RATE, (OWNER_HRS_CAP-B40)*OWNER_RATE + (B41-OWNER_HRS_CAP)*TEMP_RATE))</f>
        <v/>
      </c>
      <c r="E41" s="44">
        <f>CAR_FERT</f>
        <v/>
      </c>
      <c r="F41" s="45">
        <f>D41+E41</f>
        <v/>
      </c>
      <c r="G41" s="46">
        <f>CAR_PRICE</f>
        <v/>
      </c>
      <c r="H41" s="45">
        <f>G41-F41</f>
        <v/>
      </c>
    </row>
    <row r="42">
      <c r="A42" s="21" t="n">
        <v>14</v>
      </c>
      <c r="B42" s="47">
        <f>14*CAR_BASE_HRS*WEEKS*(1+CAR_DIM_PCT)^14</f>
        <v/>
      </c>
      <c r="C42" s="39">
        <f>B42-B41</f>
        <v/>
      </c>
      <c r="D42" s="48">
        <f>IF(B42&lt;=OWNER_HRS_CAP, C42*OWNER_RATE, IF(B41&gt;=OWNER_HRS_CAP, C42*TEMP_RATE, (OWNER_HRS_CAP-B41)*OWNER_RATE + (B42-OWNER_HRS_CAP)*TEMP_RATE))</f>
        <v/>
      </c>
      <c r="E42" s="49">
        <f>CAR_FERT</f>
        <v/>
      </c>
      <c r="F42" s="50">
        <f>D42+E42</f>
        <v/>
      </c>
      <c r="G42" s="51">
        <f>CAR_PRICE</f>
        <v/>
      </c>
      <c r="H42" s="50">
        <f>G42-F42</f>
        <v/>
      </c>
    </row>
    <row r="43">
      <c r="A43" s="40" t="n">
        <v>15</v>
      </c>
      <c r="B43" s="41">
        <f>15*CAR_BASE_HRS*WEEKS*(1+CAR_DIM_PCT)^15</f>
        <v/>
      </c>
      <c r="C43" s="42">
        <f>B43-B42</f>
        <v/>
      </c>
      <c r="D43" s="43">
        <f>IF(B43&lt;=OWNER_HRS_CAP, C43*OWNER_RATE, IF(B42&gt;=OWNER_HRS_CAP, C43*TEMP_RATE, (OWNER_HRS_CAP-B42)*OWNER_RATE + (B43-OWNER_HRS_CAP)*TEMP_RATE))</f>
        <v/>
      </c>
      <c r="E43" s="44">
        <f>CAR_FERT</f>
        <v/>
      </c>
      <c r="F43" s="45">
        <f>D43+E43</f>
        <v/>
      </c>
      <c r="G43" s="46">
        <f>CAR_PRICE</f>
        <v/>
      </c>
      <c r="H43" s="45">
        <f>G43-F43</f>
        <v/>
      </c>
    </row>
    <row r="44">
      <c r="A44" s="21" t="n">
        <v>16</v>
      </c>
      <c r="B44" s="47">
        <f>16*CAR_BASE_HRS*WEEKS*(1+CAR_DIM_PCT)^16</f>
        <v/>
      </c>
      <c r="C44" s="39">
        <f>B44-B43</f>
        <v/>
      </c>
      <c r="D44" s="48">
        <f>IF(B44&lt;=OWNER_HRS_CAP, C44*OWNER_RATE, IF(B43&gt;=OWNER_HRS_CAP, C44*TEMP_RATE, (OWNER_HRS_CAP-B43)*OWNER_RATE + (B44-OWNER_HRS_CAP)*TEMP_RATE))</f>
        <v/>
      </c>
      <c r="E44" s="49">
        <f>CAR_FERT</f>
        <v/>
      </c>
      <c r="F44" s="50">
        <f>D44+E44</f>
        <v/>
      </c>
      <c r="G44" s="51">
        <f>CAR_PRICE</f>
        <v/>
      </c>
      <c r="H44" s="50">
        <f>G44-F44</f>
        <v/>
      </c>
    </row>
    <row r="45">
      <c r="A45" s="40" t="n">
        <v>17</v>
      </c>
      <c r="B45" s="41">
        <f>17*CAR_BASE_HRS*WEEKS*(1+CAR_DIM_PCT)^17</f>
        <v/>
      </c>
      <c r="C45" s="42">
        <f>B45-B44</f>
        <v/>
      </c>
      <c r="D45" s="43">
        <f>IF(B45&lt;=OWNER_HRS_CAP, C45*OWNER_RATE, IF(B44&gt;=OWNER_HRS_CAP, C45*TEMP_RATE, (OWNER_HRS_CAP-B44)*OWNER_RATE + (B45-OWNER_HRS_CAP)*TEMP_RATE))</f>
        <v/>
      </c>
      <c r="E45" s="44">
        <f>CAR_FERT</f>
        <v/>
      </c>
      <c r="F45" s="45">
        <f>D45+E45</f>
        <v/>
      </c>
      <c r="G45" s="46">
        <f>CAR_PRICE</f>
        <v/>
      </c>
      <c r="H45" s="45">
        <f>G45-F45</f>
        <v/>
      </c>
    </row>
    <row r="46">
      <c r="A46" s="21" t="n">
        <v>18</v>
      </c>
      <c r="B46" s="47">
        <f>18*CAR_BASE_HRS*WEEKS*(1+CAR_DIM_PCT)^18</f>
        <v/>
      </c>
      <c r="C46" s="39">
        <f>B46-B45</f>
        <v/>
      </c>
      <c r="D46" s="48">
        <f>IF(B46&lt;=OWNER_HRS_CAP, C46*OWNER_RATE, IF(B45&gt;=OWNER_HRS_CAP, C46*TEMP_RATE, (OWNER_HRS_CAP-B45)*OWNER_RATE + (B46-OWNER_HRS_CAP)*TEMP_RATE))</f>
        <v/>
      </c>
      <c r="E46" s="49">
        <f>CAR_FERT</f>
        <v/>
      </c>
      <c r="F46" s="50">
        <f>D46+E46</f>
        <v/>
      </c>
      <c r="G46" s="51">
        <f>CAR_PRICE</f>
        <v/>
      </c>
      <c r="H46" s="50">
        <f>G46-F46</f>
        <v/>
      </c>
    </row>
    <row r="47">
      <c r="A47" s="40" t="n">
        <v>19</v>
      </c>
      <c r="B47" s="41">
        <f>19*CAR_BASE_HRS*WEEKS*(1+CAR_DIM_PCT)^19</f>
        <v/>
      </c>
      <c r="C47" s="42">
        <f>B47-B46</f>
        <v/>
      </c>
      <c r="D47" s="43">
        <f>IF(B47&lt;=OWNER_HRS_CAP, C47*OWNER_RATE, IF(B46&gt;=OWNER_HRS_CAP, C47*TEMP_RATE, (OWNER_HRS_CAP-B46)*OWNER_RATE + (B47-OWNER_HRS_CAP)*TEMP_RATE))</f>
        <v/>
      </c>
      <c r="E47" s="44">
        <f>CAR_FERT</f>
        <v/>
      </c>
      <c r="F47" s="45">
        <f>D47+E47</f>
        <v/>
      </c>
      <c r="G47" s="46">
        <f>CAR_PRICE</f>
        <v/>
      </c>
      <c r="H47" s="45">
        <f>G47-F47</f>
        <v/>
      </c>
    </row>
    <row r="48">
      <c r="A48" s="21" t="n">
        <v>20</v>
      </c>
      <c r="B48" s="47">
        <f>20*CAR_BASE_HRS*WEEKS*(1+CAR_DIM_PCT)^20</f>
        <v/>
      </c>
      <c r="C48" s="39">
        <f>B48-B47</f>
        <v/>
      </c>
      <c r="D48" s="48">
        <f>IF(B48&lt;=OWNER_HRS_CAP, C48*OWNER_RATE, IF(B47&gt;=OWNER_HRS_CAP, C48*TEMP_RATE, (OWNER_HRS_CAP-B47)*OWNER_RATE + (B48-OWNER_HRS_CAP)*TEMP_RATE))</f>
        <v/>
      </c>
      <c r="E48" s="49">
        <f>CAR_FERT</f>
        <v/>
      </c>
      <c r="F48" s="50">
        <f>D48+E48</f>
        <v/>
      </c>
      <c r="G48" s="51">
        <f>CAR_PRICE</f>
        <v/>
      </c>
      <c r="H48" s="50">
        <f>G48-F48</f>
        <v/>
      </c>
    </row>
    <row r="50">
      <c r="A50" s="3" t="inlineStr">
        <is>
          <t>Mesclun Marginal-Cost Schedule</t>
        </is>
      </c>
    </row>
    <row r="51">
      <c r="A51" s="4" t="inlineStr">
        <is>
          <t>Bed (q)</t>
        </is>
      </c>
      <c r="B51" s="4" t="inlineStr">
        <is>
          <t>Cumulative Hours</t>
        </is>
      </c>
      <c r="C51" s="4" t="inlineStr">
        <is>
          <t>Marginal Hours</t>
        </is>
      </c>
      <c r="D51" s="4" t="inlineStr">
        <is>
          <t>Marginal Labor Cost</t>
        </is>
      </c>
      <c r="E51" s="4" t="inlineStr">
        <is>
          <t>Fertilizer Cost</t>
        </is>
      </c>
      <c r="F51" s="4" t="inlineStr">
        <is>
          <t>Total MC (MC)</t>
        </is>
      </c>
      <c r="G51" s="4" t="inlineStr">
        <is>
          <t>Price (P)</t>
        </is>
      </c>
      <c r="H51" s="4" t="inlineStr">
        <is>
          <t>Marginal Profit (P - MC)</t>
        </is>
      </c>
    </row>
    <row r="52">
      <c r="A52" s="40" t="n">
        <v>1</v>
      </c>
      <c r="B52" s="41">
        <f>1*MES_BASE_HRS*WEEKS*(1+MES_DIM_PCT)^1</f>
        <v/>
      </c>
      <c r="C52" s="42">
        <f>B52</f>
        <v/>
      </c>
      <c r="D52" s="43">
        <f>IF(B52&lt;=OWNER_HRS_CAP, C52*OWNER_RATE, IF(0&gt;=OWNER_HRS_CAP, C52*TEMP_RATE, (OWNER_HRS_CAP-0)*OWNER_RATE + (B52-OWNER_HRS_CAP)*TEMP_RATE))</f>
        <v/>
      </c>
      <c r="E52" s="44">
        <f>MES_FERT</f>
        <v/>
      </c>
      <c r="F52" s="45">
        <f>D52+E52</f>
        <v/>
      </c>
      <c r="G52" s="46">
        <f>MES_PRICE</f>
        <v/>
      </c>
      <c r="H52" s="45">
        <f>G52-F52</f>
        <v/>
      </c>
    </row>
    <row r="53">
      <c r="A53" s="21" t="n">
        <v>2</v>
      </c>
      <c r="B53" s="47">
        <f>2*MES_BASE_HRS*WEEKS*(1+MES_DIM_PCT)^2</f>
        <v/>
      </c>
      <c r="C53" s="39">
        <f>B53-B52</f>
        <v/>
      </c>
      <c r="D53" s="48">
        <f>IF(B53&lt;=OWNER_HRS_CAP, C53*OWNER_RATE, IF(B52&gt;=OWNER_HRS_CAP, C53*TEMP_RATE, (OWNER_HRS_CAP-B52)*OWNER_RATE + (B53-OWNER_HRS_CAP)*TEMP_RATE))</f>
        <v/>
      </c>
      <c r="E53" s="49">
        <f>MES_FERT</f>
        <v/>
      </c>
      <c r="F53" s="50">
        <f>D53+E53</f>
        <v/>
      </c>
      <c r="G53" s="51">
        <f>MES_PRICE</f>
        <v/>
      </c>
      <c r="H53" s="50">
        <f>G53-F53</f>
        <v/>
      </c>
    </row>
    <row r="54">
      <c r="A54" s="40" t="n">
        <v>3</v>
      </c>
      <c r="B54" s="41">
        <f>3*MES_BASE_HRS*WEEKS*(1+MES_DIM_PCT)^3</f>
        <v/>
      </c>
      <c r="C54" s="42">
        <f>B54-B53</f>
        <v/>
      </c>
      <c r="D54" s="43">
        <f>IF(B54&lt;=OWNER_HRS_CAP, C54*OWNER_RATE, IF(B53&gt;=OWNER_HRS_CAP, C54*TEMP_RATE, (OWNER_HRS_CAP-B53)*OWNER_RATE + (B54-OWNER_HRS_CAP)*TEMP_RATE))</f>
        <v/>
      </c>
      <c r="E54" s="44">
        <f>MES_FERT</f>
        <v/>
      </c>
      <c r="F54" s="45">
        <f>D54+E54</f>
        <v/>
      </c>
      <c r="G54" s="46">
        <f>MES_PRICE</f>
        <v/>
      </c>
      <c r="H54" s="45">
        <f>G54-F54</f>
        <v/>
      </c>
    </row>
    <row r="55">
      <c r="A55" s="21" t="n">
        <v>4</v>
      </c>
      <c r="B55" s="47">
        <f>4*MES_BASE_HRS*WEEKS*(1+MES_DIM_PCT)^4</f>
        <v/>
      </c>
      <c r="C55" s="39">
        <f>B55-B54</f>
        <v/>
      </c>
      <c r="D55" s="48">
        <f>IF(B55&lt;=OWNER_HRS_CAP, C55*OWNER_RATE, IF(B54&gt;=OWNER_HRS_CAP, C55*TEMP_RATE, (OWNER_HRS_CAP-B54)*OWNER_RATE + (B55-OWNER_HRS_CAP)*TEMP_RATE))</f>
        <v/>
      </c>
      <c r="E55" s="49">
        <f>MES_FERT</f>
        <v/>
      </c>
      <c r="F55" s="50">
        <f>D55+E55</f>
        <v/>
      </c>
      <c r="G55" s="51">
        <f>MES_PRICE</f>
        <v/>
      </c>
      <c r="H55" s="50">
        <f>G55-F55</f>
        <v/>
      </c>
    </row>
    <row r="56">
      <c r="A56" s="40" t="n">
        <v>5</v>
      </c>
      <c r="B56" s="41">
        <f>5*MES_BASE_HRS*WEEKS*(1+MES_DIM_PCT)^5</f>
        <v/>
      </c>
      <c r="C56" s="42">
        <f>B56-B55</f>
        <v/>
      </c>
      <c r="D56" s="43">
        <f>IF(B56&lt;=OWNER_HRS_CAP, C56*OWNER_RATE, IF(B55&gt;=OWNER_HRS_CAP, C56*TEMP_RATE, (OWNER_HRS_CAP-B55)*OWNER_RATE + (B56-OWNER_HRS_CAP)*TEMP_RATE))</f>
        <v/>
      </c>
      <c r="E56" s="44">
        <f>MES_FERT</f>
        <v/>
      </c>
      <c r="F56" s="45">
        <f>D56+E56</f>
        <v/>
      </c>
      <c r="G56" s="46">
        <f>MES_PRICE</f>
        <v/>
      </c>
      <c r="H56" s="45">
        <f>G56-F56</f>
        <v/>
      </c>
    </row>
    <row r="57">
      <c r="A57" s="21" t="n">
        <v>6</v>
      </c>
      <c r="B57" s="47">
        <f>6*MES_BASE_HRS*WEEKS*(1+MES_DIM_PCT)^6</f>
        <v/>
      </c>
      <c r="C57" s="39">
        <f>B57-B56</f>
        <v/>
      </c>
      <c r="D57" s="48">
        <f>IF(B57&lt;=OWNER_HRS_CAP, C57*OWNER_RATE, IF(B56&gt;=OWNER_HRS_CAP, C57*TEMP_RATE, (OWNER_HRS_CAP-B56)*OWNER_RATE + (B57-OWNER_HRS_CAP)*TEMP_RATE))</f>
        <v/>
      </c>
      <c r="E57" s="49">
        <f>MES_FERT</f>
        <v/>
      </c>
      <c r="F57" s="50">
        <f>D57+E57</f>
        <v/>
      </c>
      <c r="G57" s="51">
        <f>MES_PRICE</f>
        <v/>
      </c>
      <c r="H57" s="50">
        <f>G57-F57</f>
        <v/>
      </c>
    </row>
    <row r="58">
      <c r="A58" s="40" t="n">
        <v>7</v>
      </c>
      <c r="B58" s="41">
        <f>7*MES_BASE_HRS*WEEKS*(1+MES_DIM_PCT)^7</f>
        <v/>
      </c>
      <c r="C58" s="42">
        <f>B58-B57</f>
        <v/>
      </c>
      <c r="D58" s="43">
        <f>IF(B58&lt;=OWNER_HRS_CAP, C58*OWNER_RATE, IF(B57&gt;=OWNER_HRS_CAP, C58*TEMP_RATE, (OWNER_HRS_CAP-B57)*OWNER_RATE + (B58-OWNER_HRS_CAP)*TEMP_RATE))</f>
        <v/>
      </c>
      <c r="E58" s="44">
        <f>MES_FERT</f>
        <v/>
      </c>
      <c r="F58" s="45">
        <f>D58+E58</f>
        <v/>
      </c>
      <c r="G58" s="46">
        <f>MES_PRICE</f>
        <v/>
      </c>
      <c r="H58" s="45">
        <f>G58-F58</f>
        <v/>
      </c>
    </row>
    <row r="59">
      <c r="A59" s="21" t="n">
        <v>8</v>
      </c>
      <c r="B59" s="47">
        <f>8*MES_BASE_HRS*WEEKS*(1+MES_DIM_PCT)^8</f>
        <v/>
      </c>
      <c r="C59" s="39">
        <f>B59-B58</f>
        <v/>
      </c>
      <c r="D59" s="48">
        <f>IF(B59&lt;=OWNER_HRS_CAP, C59*OWNER_RATE, IF(B58&gt;=OWNER_HRS_CAP, C59*TEMP_RATE, (OWNER_HRS_CAP-B58)*OWNER_RATE + (B59-OWNER_HRS_CAP)*TEMP_RATE))</f>
        <v/>
      </c>
      <c r="E59" s="49">
        <f>MES_FERT</f>
        <v/>
      </c>
      <c r="F59" s="50">
        <f>D59+E59</f>
        <v/>
      </c>
      <c r="G59" s="51">
        <f>MES_PRICE</f>
        <v/>
      </c>
      <c r="H59" s="50">
        <f>G59-F59</f>
        <v/>
      </c>
    </row>
    <row r="60">
      <c r="A60" s="40" t="n">
        <v>9</v>
      </c>
      <c r="B60" s="41">
        <f>9*MES_BASE_HRS*WEEKS*(1+MES_DIM_PCT)^9</f>
        <v/>
      </c>
      <c r="C60" s="42">
        <f>B60-B59</f>
        <v/>
      </c>
      <c r="D60" s="43">
        <f>IF(B60&lt;=OWNER_HRS_CAP, C60*OWNER_RATE, IF(B59&gt;=OWNER_HRS_CAP, C60*TEMP_RATE, (OWNER_HRS_CAP-B59)*OWNER_RATE + (B60-OWNER_HRS_CAP)*TEMP_RATE))</f>
        <v/>
      </c>
      <c r="E60" s="44">
        <f>MES_FERT</f>
        <v/>
      </c>
      <c r="F60" s="45">
        <f>D60+E60</f>
        <v/>
      </c>
      <c r="G60" s="46">
        <f>MES_PRICE</f>
        <v/>
      </c>
      <c r="H60" s="45">
        <f>G60-F60</f>
        <v/>
      </c>
    </row>
    <row r="61">
      <c r="A61" s="21" t="n">
        <v>10</v>
      </c>
      <c r="B61" s="47">
        <f>10*MES_BASE_HRS*WEEKS*(1+MES_DIM_PCT)^10</f>
        <v/>
      </c>
      <c r="C61" s="39">
        <f>B61-B60</f>
        <v/>
      </c>
      <c r="D61" s="48">
        <f>IF(B61&lt;=OWNER_HRS_CAP, C61*OWNER_RATE, IF(B60&gt;=OWNER_HRS_CAP, C61*TEMP_RATE, (OWNER_HRS_CAP-B60)*OWNER_RATE + (B61-OWNER_HRS_CAP)*TEMP_RATE))</f>
        <v/>
      </c>
      <c r="E61" s="49">
        <f>MES_FERT</f>
        <v/>
      </c>
      <c r="F61" s="50">
        <f>D61+E61</f>
        <v/>
      </c>
      <c r="G61" s="51">
        <f>MES_PRICE</f>
        <v/>
      </c>
      <c r="H61" s="50">
        <f>G61-F61</f>
        <v/>
      </c>
    </row>
    <row r="62">
      <c r="A62" s="40" t="n">
        <v>11</v>
      </c>
      <c r="B62" s="41">
        <f>11*MES_BASE_HRS*WEEKS*(1+MES_DIM_PCT)^11</f>
        <v/>
      </c>
      <c r="C62" s="42">
        <f>B62-B61</f>
        <v/>
      </c>
      <c r="D62" s="43">
        <f>IF(B62&lt;=OWNER_HRS_CAP, C62*OWNER_RATE, IF(B61&gt;=OWNER_HRS_CAP, C62*TEMP_RATE, (OWNER_HRS_CAP-B61)*OWNER_RATE + (B62-OWNER_HRS_CAP)*TEMP_RATE))</f>
        <v/>
      </c>
      <c r="E62" s="44">
        <f>MES_FERT</f>
        <v/>
      </c>
      <c r="F62" s="45">
        <f>D62+E62</f>
        <v/>
      </c>
      <c r="G62" s="46">
        <f>MES_PRICE</f>
        <v/>
      </c>
      <c r="H62" s="45">
        <f>G62-F62</f>
        <v/>
      </c>
    </row>
    <row r="63">
      <c r="A63" s="21" t="n">
        <v>12</v>
      </c>
      <c r="B63" s="47">
        <f>12*MES_BASE_HRS*WEEKS*(1+MES_DIM_PCT)^12</f>
        <v/>
      </c>
      <c r="C63" s="39">
        <f>B63-B62</f>
        <v/>
      </c>
      <c r="D63" s="48">
        <f>IF(B63&lt;=OWNER_HRS_CAP, C63*OWNER_RATE, IF(B62&gt;=OWNER_HRS_CAP, C63*TEMP_RATE, (OWNER_HRS_CAP-B62)*OWNER_RATE + (B63-OWNER_HRS_CAP)*TEMP_RATE))</f>
        <v/>
      </c>
      <c r="E63" s="49">
        <f>MES_FERT</f>
        <v/>
      </c>
      <c r="F63" s="50">
        <f>D63+E63</f>
        <v/>
      </c>
      <c r="G63" s="51">
        <f>MES_PRICE</f>
        <v/>
      </c>
      <c r="H63" s="50">
        <f>G63-F63</f>
        <v/>
      </c>
    </row>
    <row r="64">
      <c r="A64" s="40" t="n">
        <v>13</v>
      </c>
      <c r="B64" s="41">
        <f>13*MES_BASE_HRS*WEEKS*(1+MES_DIM_PCT)^13</f>
        <v/>
      </c>
      <c r="C64" s="42">
        <f>B64-B63</f>
        <v/>
      </c>
      <c r="D64" s="43">
        <f>IF(B64&lt;=OWNER_HRS_CAP, C64*OWNER_RATE, IF(B63&gt;=OWNER_HRS_CAP, C64*TEMP_RATE, (OWNER_HRS_CAP-B63)*OWNER_RATE + (B64-OWNER_HRS_CAP)*TEMP_RATE))</f>
        <v/>
      </c>
      <c r="E64" s="44">
        <f>MES_FERT</f>
        <v/>
      </c>
      <c r="F64" s="45">
        <f>D64+E64</f>
        <v/>
      </c>
      <c r="G64" s="46">
        <f>MES_PRICE</f>
        <v/>
      </c>
      <c r="H64" s="45">
        <f>G64-F64</f>
        <v/>
      </c>
    </row>
    <row r="65">
      <c r="A65" s="21" t="n">
        <v>14</v>
      </c>
      <c r="B65" s="47">
        <f>14*MES_BASE_HRS*WEEKS*(1+MES_DIM_PCT)^14</f>
        <v/>
      </c>
      <c r="C65" s="39">
        <f>B65-B64</f>
        <v/>
      </c>
      <c r="D65" s="48">
        <f>IF(B65&lt;=OWNER_HRS_CAP, C65*OWNER_RATE, IF(B64&gt;=OWNER_HRS_CAP, C65*TEMP_RATE, (OWNER_HRS_CAP-B64)*OWNER_RATE + (B65-OWNER_HRS_CAP)*TEMP_RATE))</f>
        <v/>
      </c>
      <c r="E65" s="49">
        <f>MES_FERT</f>
        <v/>
      </c>
      <c r="F65" s="50">
        <f>D65+E65</f>
        <v/>
      </c>
      <c r="G65" s="51">
        <f>MES_PRICE</f>
        <v/>
      </c>
      <c r="H65" s="50">
        <f>G65-F65</f>
        <v/>
      </c>
    </row>
    <row r="66">
      <c r="A66" s="40" t="n">
        <v>15</v>
      </c>
      <c r="B66" s="41">
        <f>15*MES_BASE_HRS*WEEKS*(1+MES_DIM_PCT)^15</f>
        <v/>
      </c>
      <c r="C66" s="42">
        <f>B66-B65</f>
        <v/>
      </c>
      <c r="D66" s="43">
        <f>IF(B66&lt;=OWNER_HRS_CAP, C66*OWNER_RATE, IF(B65&gt;=OWNER_HRS_CAP, C66*TEMP_RATE, (OWNER_HRS_CAP-B65)*OWNER_RATE + (B66-OWNER_HRS_CAP)*TEMP_RATE))</f>
        <v/>
      </c>
      <c r="E66" s="44">
        <f>MES_FERT</f>
        <v/>
      </c>
      <c r="F66" s="45">
        <f>D66+E66</f>
        <v/>
      </c>
      <c r="G66" s="46">
        <f>MES_PRICE</f>
        <v/>
      </c>
      <c r="H66" s="45">
        <f>G66-F66</f>
        <v/>
      </c>
    </row>
    <row r="67">
      <c r="A67" s="21" t="n">
        <v>16</v>
      </c>
      <c r="B67" s="47">
        <f>16*MES_BASE_HRS*WEEKS*(1+MES_DIM_PCT)^16</f>
        <v/>
      </c>
      <c r="C67" s="39">
        <f>B67-B66</f>
        <v/>
      </c>
      <c r="D67" s="48">
        <f>IF(B67&lt;=OWNER_HRS_CAP, C67*OWNER_RATE, IF(B66&gt;=OWNER_HRS_CAP, C67*TEMP_RATE, (OWNER_HRS_CAP-B66)*OWNER_RATE + (B67-OWNER_HRS_CAP)*TEMP_RATE))</f>
        <v/>
      </c>
      <c r="E67" s="49">
        <f>MES_FERT</f>
        <v/>
      </c>
      <c r="F67" s="50">
        <f>D67+E67</f>
        <v/>
      </c>
      <c r="G67" s="51">
        <f>MES_PRICE</f>
        <v/>
      </c>
      <c r="H67" s="50">
        <f>G67-F67</f>
        <v/>
      </c>
    </row>
    <row r="68">
      <c r="A68" s="40" t="n">
        <v>17</v>
      </c>
      <c r="B68" s="41">
        <f>17*MES_BASE_HRS*WEEKS*(1+MES_DIM_PCT)^17</f>
        <v/>
      </c>
      <c r="C68" s="42">
        <f>B68-B67</f>
        <v/>
      </c>
      <c r="D68" s="43">
        <f>IF(B68&lt;=OWNER_HRS_CAP, C68*OWNER_RATE, IF(B67&gt;=OWNER_HRS_CAP, C68*TEMP_RATE, (OWNER_HRS_CAP-B67)*OWNER_RATE + (B68-OWNER_HRS_CAP)*TEMP_RATE))</f>
        <v/>
      </c>
      <c r="E68" s="44">
        <f>MES_FERT</f>
        <v/>
      </c>
      <c r="F68" s="45">
        <f>D68+E68</f>
        <v/>
      </c>
      <c r="G68" s="46">
        <f>MES_PRICE</f>
        <v/>
      </c>
      <c r="H68" s="45">
        <f>G68-F68</f>
        <v/>
      </c>
    </row>
    <row r="69">
      <c r="A69" s="21" t="n">
        <v>18</v>
      </c>
      <c r="B69" s="47">
        <f>18*MES_BASE_HRS*WEEKS*(1+MES_DIM_PCT)^18</f>
        <v/>
      </c>
      <c r="C69" s="39">
        <f>B69-B68</f>
        <v/>
      </c>
      <c r="D69" s="48">
        <f>IF(B69&lt;=OWNER_HRS_CAP, C69*OWNER_RATE, IF(B68&gt;=OWNER_HRS_CAP, C69*TEMP_RATE, (OWNER_HRS_CAP-B68)*OWNER_RATE + (B69-OWNER_HRS_CAP)*TEMP_RATE))</f>
        <v/>
      </c>
      <c r="E69" s="49">
        <f>MES_FERT</f>
        <v/>
      </c>
      <c r="F69" s="50">
        <f>D69+E69</f>
        <v/>
      </c>
      <c r="G69" s="51">
        <f>MES_PRICE</f>
        <v/>
      </c>
      <c r="H69" s="50">
        <f>G69-F69</f>
        <v/>
      </c>
    </row>
    <row r="70">
      <c r="A70" s="40" t="n">
        <v>19</v>
      </c>
      <c r="B70" s="41">
        <f>19*MES_BASE_HRS*WEEKS*(1+MES_DIM_PCT)^19</f>
        <v/>
      </c>
      <c r="C70" s="42">
        <f>B70-B69</f>
        <v/>
      </c>
      <c r="D70" s="43">
        <f>IF(B70&lt;=OWNER_HRS_CAP, C70*OWNER_RATE, IF(B69&gt;=OWNER_HRS_CAP, C70*TEMP_RATE, (OWNER_HRS_CAP-B69)*OWNER_RATE + (B70-OWNER_HRS_CAP)*TEMP_RATE))</f>
        <v/>
      </c>
      <c r="E70" s="44">
        <f>MES_FERT</f>
        <v/>
      </c>
      <c r="F70" s="45">
        <f>D70+E70</f>
        <v/>
      </c>
      <c r="G70" s="46">
        <f>MES_PRICE</f>
        <v/>
      </c>
      <c r="H70" s="45">
        <f>G70-F70</f>
        <v/>
      </c>
    </row>
    <row r="71">
      <c r="A71" s="21" t="n">
        <v>20</v>
      </c>
      <c r="B71" s="47">
        <f>20*MES_BASE_HRS*WEEKS*(1+MES_DIM_PCT)^20</f>
        <v/>
      </c>
      <c r="C71" s="39">
        <f>B71-B70</f>
        <v/>
      </c>
      <c r="D71" s="48">
        <f>IF(B71&lt;=OWNER_HRS_CAP, C71*OWNER_RATE, IF(B70&gt;=OWNER_HRS_CAP, C71*TEMP_RATE, (OWNER_HRS_CAP-B70)*OWNER_RATE + (B71-OWNER_HRS_CAP)*TEMP_RATE))</f>
        <v/>
      </c>
      <c r="E71" s="49">
        <f>MES_FERT</f>
        <v/>
      </c>
      <c r="F71" s="50">
        <f>D71+E71</f>
        <v/>
      </c>
      <c r="G71" s="51">
        <f>MES_PRICE</f>
        <v/>
      </c>
      <c r="H71" s="50">
        <f>G71-F71</f>
        <v/>
      </c>
    </row>
    <row r="72">
      <c r="A72" s="40" t="n">
        <v>21</v>
      </c>
      <c r="B72" s="41">
        <f>21*MES_BASE_HRS*WEEKS*(1+MES_DIM_PCT)^21</f>
        <v/>
      </c>
      <c r="C72" s="42">
        <f>B72-B71</f>
        <v/>
      </c>
      <c r="D72" s="43">
        <f>IF(B72&lt;=OWNER_HRS_CAP, C72*OWNER_RATE, IF(B71&gt;=OWNER_HRS_CAP, C72*TEMP_RATE, (OWNER_HRS_CAP-B71)*OWNER_RATE + (B72-OWNER_HRS_CAP)*TEMP_RATE))</f>
        <v/>
      </c>
      <c r="E72" s="44">
        <f>MES_FERT</f>
        <v/>
      </c>
      <c r="F72" s="45">
        <f>D72+E72</f>
        <v/>
      </c>
      <c r="G72" s="46">
        <f>MES_PRICE</f>
        <v/>
      </c>
      <c r="H72" s="45">
        <f>G72-F72</f>
        <v/>
      </c>
    </row>
    <row r="73">
      <c r="A73" s="21" t="n">
        <v>22</v>
      </c>
      <c r="B73" s="47">
        <f>22*MES_BASE_HRS*WEEKS*(1+MES_DIM_PCT)^22</f>
        <v/>
      </c>
      <c r="C73" s="39">
        <f>B73-B72</f>
        <v/>
      </c>
      <c r="D73" s="48">
        <f>IF(B73&lt;=OWNER_HRS_CAP, C73*OWNER_RATE, IF(B72&gt;=OWNER_HRS_CAP, C73*TEMP_RATE, (OWNER_HRS_CAP-B72)*OWNER_RATE + (B73-OWNER_HRS_CAP)*TEMP_RATE))</f>
        <v/>
      </c>
      <c r="E73" s="49">
        <f>MES_FERT</f>
        <v/>
      </c>
      <c r="F73" s="50">
        <f>D73+E73</f>
        <v/>
      </c>
      <c r="G73" s="51">
        <f>MES_PRICE</f>
        <v/>
      </c>
      <c r="H73" s="50">
        <f>G73-F73</f>
        <v/>
      </c>
    </row>
    <row r="74">
      <c r="A74" s="40" t="n">
        <v>23</v>
      </c>
      <c r="B74" s="41">
        <f>23*MES_BASE_HRS*WEEKS*(1+MES_DIM_PCT)^23</f>
        <v/>
      </c>
      <c r="C74" s="42">
        <f>B74-B73</f>
        <v/>
      </c>
      <c r="D74" s="43">
        <f>IF(B74&lt;=OWNER_HRS_CAP, C74*OWNER_RATE, IF(B73&gt;=OWNER_HRS_CAP, C74*TEMP_RATE, (OWNER_HRS_CAP-B73)*OWNER_RATE + (B74-OWNER_HRS_CAP)*TEMP_RATE))</f>
        <v/>
      </c>
      <c r="E74" s="44">
        <f>MES_FERT</f>
        <v/>
      </c>
      <c r="F74" s="45">
        <f>D74+E74</f>
        <v/>
      </c>
      <c r="G74" s="46">
        <f>MES_PRICE</f>
        <v/>
      </c>
      <c r="H74" s="45">
        <f>G74-F74</f>
        <v/>
      </c>
    </row>
    <row r="75">
      <c r="A75" s="21" t="n">
        <v>24</v>
      </c>
      <c r="B75" s="47">
        <f>24*MES_BASE_HRS*WEEKS*(1+MES_DIM_PCT)^24</f>
        <v/>
      </c>
      <c r="C75" s="39">
        <f>B75-B74</f>
        <v/>
      </c>
      <c r="D75" s="48">
        <f>IF(B75&lt;=OWNER_HRS_CAP, C75*OWNER_RATE, IF(B74&gt;=OWNER_HRS_CAP, C75*TEMP_RATE, (OWNER_HRS_CAP-B74)*OWNER_RATE + (B75-OWNER_HRS_CAP)*TEMP_RATE))</f>
        <v/>
      </c>
      <c r="E75" s="49">
        <f>MES_FERT</f>
        <v/>
      </c>
      <c r="F75" s="50">
        <f>D75+E75</f>
        <v/>
      </c>
      <c r="G75" s="51">
        <f>MES_PRICE</f>
        <v/>
      </c>
      <c r="H75" s="50">
        <f>G75-F75</f>
        <v/>
      </c>
    </row>
    <row r="76">
      <c r="A76" s="40" t="n">
        <v>25</v>
      </c>
      <c r="B76" s="41">
        <f>25*MES_BASE_HRS*WEEKS*(1+MES_DIM_PCT)^25</f>
        <v/>
      </c>
      <c r="C76" s="42">
        <f>B76-B75</f>
        <v/>
      </c>
      <c r="D76" s="43">
        <f>IF(B76&lt;=OWNER_HRS_CAP, C76*OWNER_RATE, IF(B75&gt;=OWNER_HRS_CAP, C76*TEMP_RATE, (OWNER_HRS_CAP-B75)*OWNER_RATE + (B76-OWNER_HRS_CAP)*TEMP_RATE))</f>
        <v/>
      </c>
      <c r="E76" s="44">
        <f>MES_FERT</f>
        <v/>
      </c>
      <c r="F76" s="45">
        <f>D76+E76</f>
        <v/>
      </c>
      <c r="G76" s="46">
        <f>MES_PRICE</f>
        <v/>
      </c>
      <c r="H76" s="45">
        <f>G76-F76</f>
        <v/>
      </c>
    </row>
    <row r="77">
      <c r="A77" s="21" t="n">
        <v>26</v>
      </c>
      <c r="B77" s="47">
        <f>26*MES_BASE_HRS*WEEKS*(1+MES_DIM_PCT)^26</f>
        <v/>
      </c>
      <c r="C77" s="39">
        <f>B77-B76</f>
        <v/>
      </c>
      <c r="D77" s="48">
        <f>IF(B77&lt;=OWNER_HRS_CAP, C77*OWNER_RATE, IF(B76&gt;=OWNER_HRS_CAP, C77*TEMP_RATE, (OWNER_HRS_CAP-B76)*OWNER_RATE + (B77-OWNER_HRS_CAP)*TEMP_RATE))</f>
        <v/>
      </c>
      <c r="E77" s="49">
        <f>MES_FERT</f>
        <v/>
      </c>
      <c r="F77" s="50">
        <f>D77+E77</f>
        <v/>
      </c>
      <c r="G77" s="51">
        <f>MES_PRICE</f>
        <v/>
      </c>
      <c r="H77" s="50">
        <f>G77-F77</f>
        <v/>
      </c>
    </row>
    <row r="78">
      <c r="A78" s="40" t="n">
        <v>27</v>
      </c>
      <c r="B78" s="41">
        <f>27*MES_BASE_HRS*WEEKS*(1+MES_DIM_PCT)^27</f>
        <v/>
      </c>
      <c r="C78" s="42">
        <f>B78-B77</f>
        <v/>
      </c>
      <c r="D78" s="43">
        <f>IF(B78&lt;=OWNER_HRS_CAP, C78*OWNER_RATE, IF(B77&gt;=OWNER_HRS_CAP, C78*TEMP_RATE, (OWNER_HRS_CAP-B77)*OWNER_RATE + (B78-OWNER_HRS_CAP)*TEMP_RATE))</f>
        <v/>
      </c>
      <c r="E78" s="44">
        <f>MES_FERT</f>
        <v/>
      </c>
      <c r="F78" s="45">
        <f>D78+E78</f>
        <v/>
      </c>
      <c r="G78" s="46">
        <f>MES_PRICE</f>
        <v/>
      </c>
      <c r="H78" s="45">
        <f>G78-F78</f>
        <v/>
      </c>
    </row>
    <row r="79">
      <c r="A79" s="21" t="n">
        <v>28</v>
      </c>
      <c r="B79" s="47">
        <f>28*MES_BASE_HRS*WEEKS*(1+MES_DIM_PCT)^28</f>
        <v/>
      </c>
      <c r="C79" s="39">
        <f>B79-B78</f>
        <v/>
      </c>
      <c r="D79" s="48">
        <f>IF(B79&lt;=OWNER_HRS_CAP, C79*OWNER_RATE, IF(B78&gt;=OWNER_HRS_CAP, C79*TEMP_RATE, (OWNER_HRS_CAP-B78)*OWNER_RATE + (B79-OWNER_HRS_CAP)*TEMP_RATE))</f>
        <v/>
      </c>
      <c r="E79" s="49">
        <f>MES_FERT</f>
        <v/>
      </c>
      <c r="F79" s="50">
        <f>D79+E79</f>
        <v/>
      </c>
      <c r="G79" s="51">
        <f>MES_PRICE</f>
        <v/>
      </c>
      <c r="H79" s="50">
        <f>G79-F79</f>
        <v/>
      </c>
    </row>
    <row r="80">
      <c r="A80" s="40" t="n">
        <v>29</v>
      </c>
      <c r="B80" s="41">
        <f>29*MES_BASE_HRS*WEEKS*(1+MES_DIM_PCT)^29</f>
        <v/>
      </c>
      <c r="C80" s="42">
        <f>B80-B79</f>
        <v/>
      </c>
      <c r="D80" s="43">
        <f>IF(B80&lt;=OWNER_HRS_CAP, C80*OWNER_RATE, IF(B79&gt;=OWNER_HRS_CAP, C80*TEMP_RATE, (OWNER_HRS_CAP-B79)*OWNER_RATE + (B80-OWNER_HRS_CAP)*TEMP_RATE))</f>
        <v/>
      </c>
      <c r="E80" s="44">
        <f>MES_FERT</f>
        <v/>
      </c>
      <c r="F80" s="45">
        <f>D80+E80</f>
        <v/>
      </c>
      <c r="G80" s="46">
        <f>MES_PRICE</f>
        <v/>
      </c>
      <c r="H80" s="45">
        <f>G80-F80</f>
        <v/>
      </c>
    </row>
    <row r="81">
      <c r="A81" s="21" t="n">
        <v>30</v>
      </c>
      <c r="B81" s="47">
        <f>30*MES_BASE_HRS*WEEKS*(1+MES_DIM_PCT)^30</f>
        <v/>
      </c>
      <c r="C81" s="39">
        <f>B81-B80</f>
        <v/>
      </c>
      <c r="D81" s="48">
        <f>IF(B81&lt;=OWNER_HRS_CAP, C81*OWNER_RATE, IF(B80&gt;=OWNER_HRS_CAP, C81*TEMP_RATE, (OWNER_HRS_CAP-B80)*OWNER_RATE + (B81-OWNER_HRS_CAP)*TEMP_RATE))</f>
        <v/>
      </c>
      <c r="E81" s="49">
        <f>MES_FERT</f>
        <v/>
      </c>
      <c r="F81" s="50">
        <f>D81+E81</f>
        <v/>
      </c>
      <c r="G81" s="51">
        <f>MES_PRICE</f>
        <v/>
      </c>
      <c r="H81" s="50">
        <f>G81-F81</f>
        <v/>
      </c>
    </row>
  </sheetData>
  <mergeCells count="5">
    <mergeCell ref="A50:H50"/>
    <mergeCell ref="A4:H4"/>
    <mergeCell ref="A1:G1"/>
    <mergeCell ref="A2:G2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20" customWidth="1" min="4" max="4"/>
    <col width="12" customWidth="1" min="5" max="5"/>
    <col width="40" customWidth="1" min="6" max="6"/>
    <col width="12" customWidth="1" min="7" max="7"/>
  </cols>
  <sheetData>
    <row r="1">
      <c r="A1" s="1" t="inlineStr">
        <is>
          <t>Model Audit &amp; Validation Checklist</t>
        </is>
      </c>
    </row>
    <row r="2">
      <c r="A2" s="2" t="inlineStr">
        <is>
          <t>Verification of Specification Rules, Single-Bed Labor, Initial Mix, and Target Output</t>
        </is>
      </c>
    </row>
    <row r="4">
      <c r="A4" s="17" t="inlineStr">
        <is>
          <t>1. AUDIT CHECKS &amp; VERIFICATION SUMMARY</t>
        </is>
      </c>
    </row>
    <row r="5">
      <c r="A5" s="4" t="inlineStr">
        <is>
          <t>Test #</t>
        </is>
      </c>
      <c r="B5" s="4" t="inlineStr">
        <is>
          <t>Validation Rule Description</t>
        </is>
      </c>
      <c r="C5" s="4" t="inlineStr">
        <is>
          <t>Expected Spec Value</t>
        </is>
      </c>
      <c r="D5" s="4" t="inlineStr">
        <is>
          <t>Actual Model Value</t>
        </is>
      </c>
      <c r="E5" s="4" t="inlineStr">
        <is>
          <t>Status</t>
        </is>
      </c>
      <c r="F5" s="4" t="inlineStr">
        <is>
          <t>Audit Notes</t>
        </is>
      </c>
    </row>
    <row r="6">
      <c r="A6" s="21" t="n">
        <v>1</v>
      </c>
      <c r="B6" s="5" t="inlineStr">
        <is>
          <t>Single-Bed Tomato Labor Hours (q=1)</t>
        </is>
      </c>
      <c r="C6" s="52" t="inlineStr">
        <is>
          <t>99.0 hours</t>
        </is>
      </c>
      <c r="D6" s="53">
        <f>'Marginal Cost Schedules'!B6</f>
        <v/>
      </c>
      <c r="E6" s="37">
        <f>IF(ABS(D6-99)&lt;=0.5, "PASS", "FAIL")</f>
        <v/>
      </c>
      <c r="F6" s="5" t="inlineStr">
        <is>
          <t>Formula: 1 * 2.5 * 36 * (1 + 0.10)^1</t>
        </is>
      </c>
    </row>
    <row r="7">
      <c r="A7" s="40" t="n">
        <v>2</v>
      </c>
      <c r="B7" s="8" t="inlineStr">
        <is>
          <t>Optimal Tomato Beds (BEDS_TOMATO)</t>
        </is>
      </c>
      <c r="C7" s="54" t="inlineStr">
        <is>
          <t>10 beds</t>
        </is>
      </c>
      <c r="D7" s="55">
        <f>BEDS_TOMATO</f>
        <v/>
      </c>
      <c r="E7" s="56">
        <f>IF(D7=10, "PASS", "FAIL")</f>
        <v/>
      </c>
      <c r="F7" s="8" t="inlineStr">
        <is>
          <t>Optimal allocation from Solver</t>
        </is>
      </c>
    </row>
    <row r="8">
      <c r="A8" s="21" t="n">
        <v>3</v>
      </c>
      <c r="B8" s="5" t="inlineStr">
        <is>
          <t>Optimal Carrot Beds (BEDS_CARROT)</t>
        </is>
      </c>
      <c r="C8" s="52" t="inlineStr">
        <is>
          <t>20 beds</t>
        </is>
      </c>
      <c r="D8" s="36">
        <f>BEDS_CARROT</f>
        <v/>
      </c>
      <c r="E8" s="37">
        <f>IF(D8=20, "PASS", "FAIL")</f>
        <v/>
      </c>
      <c r="F8" s="5" t="inlineStr">
        <is>
          <t>Optimal allocation from Solver</t>
        </is>
      </c>
    </row>
    <row r="9">
      <c r="A9" s="40" t="n">
        <v>4</v>
      </c>
      <c r="B9" s="8" t="inlineStr">
        <is>
          <t>Optimal Mesclun Beds (BEDS_MESCLUN)</t>
        </is>
      </c>
      <c r="C9" s="54" t="inlineStr">
        <is>
          <t>30 beds</t>
        </is>
      </c>
      <c r="D9" s="55">
        <f>BEDS_MESCLUN</f>
        <v/>
      </c>
      <c r="E9" s="56">
        <f>IF(D9=30, "PASS", "FAIL")</f>
        <v/>
      </c>
      <c r="F9" s="8" t="inlineStr">
        <is>
          <t>Optimal allocation from Solver</t>
        </is>
      </c>
    </row>
    <row r="10">
      <c r="A10" s="21" t="n">
        <v>5</v>
      </c>
      <c r="B10" s="5" t="inlineStr">
        <is>
          <t>Total Planted Beds</t>
        </is>
      </c>
      <c r="C10" s="52" t="inlineStr">
        <is>
          <t>60 beds</t>
        </is>
      </c>
      <c r="D10" s="36">
        <f>TOTAL_PLANTED_BEDS</f>
        <v/>
      </c>
      <c r="E10" s="37">
        <f>IF(D10&lt;=64, "PASS", "FAIL")</f>
        <v/>
      </c>
      <c r="F10" s="5" t="inlineStr">
        <is>
          <t>Within 64 land cap</t>
        </is>
      </c>
    </row>
    <row r="11">
      <c r="A11" s="40" t="n">
        <v>6</v>
      </c>
      <c r="B11" s="8" t="inlineStr">
        <is>
          <t>Optimal Seasonal Labor Hours</t>
        </is>
      </c>
      <c r="C11" s="54" t="inlineStr">
        <is>
          <t>~5,277 hours</t>
        </is>
      </c>
      <c r="D11" s="57">
        <f>TOTAL_LABOR_HRS</f>
        <v/>
      </c>
      <c r="E11" s="56">
        <f>IF(D11&lt;=TOTAL_LABOR_CAP, "PASS", "FAIL")</f>
        <v/>
      </c>
      <c r="F11" s="8" t="inlineStr">
        <is>
          <t>Within 6,480 labor cap</t>
        </is>
      </c>
    </row>
    <row r="12">
      <c r="A12" s="21" t="n">
        <v>7</v>
      </c>
      <c r="B12" s="5" t="inlineStr">
        <is>
          <t>Total Seasonal Revenue</t>
        </is>
      </c>
      <c r="C12" s="52" t="inlineStr">
        <is>
          <t>$210,880</t>
        </is>
      </c>
      <c r="D12" s="51">
        <f>TOTAL_REVENUE</f>
        <v/>
      </c>
      <c r="E12" s="37">
        <f>IF(D12=210880, "PASS", "FAIL")</f>
        <v/>
      </c>
      <c r="F12" s="5" t="inlineStr">
        <is>
          <t>Exact spec target match</t>
        </is>
      </c>
    </row>
    <row r="13">
      <c r="A13" s="40" t="n">
        <v>8</v>
      </c>
      <c r="B13" s="8" t="inlineStr">
        <is>
          <t>Total Fertilizer Cost</t>
        </is>
      </c>
      <c r="C13" s="54" t="inlineStr">
        <is>
          <t>$44,000</t>
        </is>
      </c>
      <c r="D13" s="46">
        <f>TOTAL_FERTILIZER</f>
        <v/>
      </c>
      <c r="E13" s="56">
        <f>IF(D13=44000, "PASS", "FAIL")</f>
        <v/>
      </c>
      <c r="F13" s="8" t="inlineStr">
        <is>
          <t>Exact spec target match</t>
        </is>
      </c>
    </row>
    <row r="14">
      <c r="A14" s="21" t="n">
        <v>9</v>
      </c>
      <c r="B14" s="5" t="inlineStr">
        <is>
          <t>Total Labor Cost</t>
        </is>
      </c>
      <c r="C14" s="52" t="inlineStr">
        <is>
          <t>~$104,118</t>
        </is>
      </c>
      <c r="D14" s="51">
        <f>TOTAL_LABOR_COST</f>
        <v/>
      </c>
      <c r="E14" s="37">
        <f>IF(ABS(D14-104118)&lt;=100, "PASS", "FAIL")</f>
        <v/>
      </c>
      <c r="F14" s="5" t="inlineStr">
        <is>
          <t>Owner + Temp labor combined</t>
        </is>
      </c>
    </row>
    <row r="15">
      <c r="A15" s="40" t="n">
        <v>10</v>
      </c>
      <c r="B15" s="8" t="inlineStr">
        <is>
          <t>Net Seasonal Profit (SEASON_PROFIT)</t>
        </is>
      </c>
      <c r="C15" s="54" t="inlineStr">
        <is>
          <t>$42,775</t>
        </is>
      </c>
      <c r="D15" s="46">
        <f>SEASON_PROFIT</f>
        <v/>
      </c>
      <c r="E15" s="56">
        <f>IF(ABS(D15-42775)&lt;=20, "PASS", "FAIL")</f>
        <v/>
      </c>
      <c r="F15" s="8" t="inlineStr">
        <is>
          <t>Formula target $42,775 (tolerance +- $20 covers $42,762 rounding)</t>
        </is>
      </c>
    </row>
    <row r="16">
      <c r="A16" t="n">
        <v>11</v>
      </c>
      <c r="B16" t="inlineStr">
        <is>
          <t>Initial Mix Labor Feasibility Check (20/20/24)</t>
        </is>
      </c>
      <c r="C16" t="inlineStr">
        <is>
          <t>&gt; 6,480 hours (Feasibility Warning)</t>
        </is>
      </c>
      <c r="D16">
        <f>20*TOM_BASE_HRS*WEEKS*(1+TOM_DIM_PCT)^20 + 20*CAR_BASE_HRS*WEEKS*(1+CAR_DIM_PCT)^20 + 24*MES_BASE_HRS*WEEKS*(1+MES_DIM_PCT)^24</f>
        <v/>
      </c>
      <c r="E16">
        <f>IF(D16&gt;TOTAL_LABOR_CAP, "PASS", "FAIL")</f>
        <v/>
      </c>
      <c r="F16" t="inlineStr">
        <is>
          <t>Confirms 14,547 hrs &gt; 6,480 hrs labor cap, proving initial mix unfeasible</t>
        </is>
      </c>
    </row>
    <row r="17">
      <c r="A17" t="n">
        <v>12</v>
      </c>
      <c r="B17" t="inlineStr">
        <is>
          <t>Solver Convergence Check (Multi-Start 0/0/0 and 20/0/0)</t>
        </is>
      </c>
      <c r="C17" t="inlineStr">
        <is>
          <t>10 / 20 / 30 beds</t>
        </is>
      </c>
      <c r="D17">
        <f>IF(AND(BEDS_TOMATO=10, BEDS_CARROT=20, BEDS_MESCLUN=30), "10/20/30", "Pending Solver")</f>
        <v/>
      </c>
      <c r="E17">
        <f>IF(D17="10/20/30", "PASS", "FAIL")</f>
        <v/>
      </c>
      <c r="F17" t="inlineStr">
        <is>
          <t>Verifies Solver consistently reaches optimal 10/20/30 mix from multiple initial seeds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2026-10-14T08:20:22Z</dcterms:created>
  <dcterms:modified xmlns:dcterms="http://purl.org/dc/terms/" xmlns:xsi="http://www.w3.org/2001/XMLSchema-instance" xsi:type="dcterms:W3CDTF">2026-10-21T03:32:44Z</dcterms:modified>
</cp:coreProperties>
</file>