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493b2c935f03a010/デスクトップ/"/>
    </mc:Choice>
  </mc:AlternateContent>
  <xr:revisionPtr revIDLastSave="1150" documentId="11_D565B4AB8C1A49748FE4A7BD75B9E60A974CE1B2" xr6:coauthVersionLast="47" xr6:coauthVersionMax="47" xr10:uidLastSave="{89CB9192-71C8-4D2E-AA58-454CA36B4FA9}"/>
  <bookViews>
    <workbookView xWindow="-108" yWindow="-108" windowWidth="23256" windowHeight="12456" xr2:uid="{00000000-000D-0000-FFFF-FFFF00000000}"/>
  </bookViews>
  <sheets>
    <sheet name="Summary &amp; PNL" sheetId="1" r:id="rId1"/>
    <sheet name="Marginal Cost Schedules" sheetId="2" r:id="rId2"/>
    <sheet name="Sheet1" sheetId="4" r:id="rId3"/>
    <sheet name="Checks &amp; Audit" sheetId="3" r:id="rId4"/>
  </sheets>
  <definedNames>
    <definedName name="BEDS_CARROT">'Summary &amp; PNL'!$C$33</definedName>
    <definedName name="BEDS_MESCLUN">'Summary &amp; PNL'!$C$34</definedName>
    <definedName name="BEDS_TOMATO">'Summary &amp; PNL'!$C$32</definedName>
    <definedName name="BLENDED_LABOR_RATE">'Summary &amp; PNL'!$C$48</definedName>
    <definedName name="CAR_BASE_HRS">'Summary &amp; PNL'!$C$13</definedName>
    <definedName name="CAR_DIM_PCT">'Summary &amp; PNL'!$C$14</definedName>
    <definedName name="CAR_FERT">'Summary &amp; PNL'!$C$12</definedName>
    <definedName name="CAR_MAX_BEDS">'Summary &amp; PNL'!$C$15</definedName>
    <definedName name="CAR_PRICE">'Summary &amp; PNL'!$C$11</definedName>
    <definedName name="FARM_MAX_BEDS">'Summary &amp; PNL'!$C$22</definedName>
    <definedName name="FIXED_OVERHEAD">'Summary &amp; PNL'!$C$28</definedName>
    <definedName name="FIXED_OVERHEAD_EXP">'Summary &amp; PNL'!$C$51</definedName>
    <definedName name="LABOR_HRS_CARROT">'Summary &amp; PNL'!$C$40</definedName>
    <definedName name="LABOR_HRS_MESCLUN">'Summary &amp; PNL'!$C$41</definedName>
    <definedName name="LABOR_HRS_TOMATO">'Summary &amp; PNL'!$C$39</definedName>
    <definedName name="MES_BASE_HRS">'Summary &amp; PNL'!$C$18</definedName>
    <definedName name="MES_DIM_PCT">'Summary &amp; PNL'!$C$19</definedName>
    <definedName name="MES_FERT">'Summary &amp; PNL'!$C$17</definedName>
    <definedName name="MES_MAX_BEDS">'Summary &amp; PNL'!$C$20</definedName>
    <definedName name="MES_PRICE">'Summary &amp; PNL'!$C$16</definedName>
    <definedName name="OWNER_HRS_CAP">'Summary &amp; PNL'!$C$23</definedName>
    <definedName name="OWNER_HRS_USED">'Summary &amp; PNL'!$C$43</definedName>
    <definedName name="OWNER_LABOR_COST">'Summary &amp; PNL'!$C$45</definedName>
    <definedName name="OWNER_RATE">'Summary &amp; PNL'!$C$24</definedName>
    <definedName name="SEASON_PROFIT">'Summary &amp; PNL'!$C$52</definedName>
    <definedName name="solver_adj" localSheetId="0" hidden="1">'Summary &amp; PNL'!$C$32:$C$34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'Summary &amp; PNL'!$C$32:$C$34</definedName>
    <definedName name="solver_lhs2" localSheetId="0" hidden="1">'Summary &amp; PNL'!$C$32:$C$34</definedName>
    <definedName name="solver_lhs3" localSheetId="0" hidden="1">'Summary &amp; PNL'!$C$33</definedName>
    <definedName name="solver_lhs4" localSheetId="0" hidden="1">'Summary &amp; PNL'!$C$34</definedName>
    <definedName name="solver_lhs5" localSheetId="0" hidden="1">'Summary &amp; PNL'!$C$32</definedName>
    <definedName name="solver_lhs6" localSheetId="0" hidden="1">'Summary &amp; PNL'!$C$42</definedName>
    <definedName name="solver_lhs7" localSheetId="0" hidden="1">'Summary &amp; PNL'!$C$35</definedName>
    <definedName name="solver_lhs8" localSheetId="0" hidden="1">'Summary &amp; PNL'!$C$35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7</definedName>
    <definedName name="solver_nwt" localSheetId="0" hidden="1">1</definedName>
    <definedName name="solver_opt" localSheetId="0" hidden="1">'Summary &amp; PNL'!$C$52</definedName>
    <definedName name="solver_pre" localSheetId="0" hidden="1">0.000001</definedName>
    <definedName name="solver_rbv" localSheetId="0" hidden="1">1</definedName>
    <definedName name="solver_rel1" localSheetId="0" hidden="1">4</definedName>
    <definedName name="solver_rel2" localSheetId="0" hidden="1">3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hs1" localSheetId="0" hidden="1">"整数"</definedName>
    <definedName name="solver_rhs2" localSheetId="0" hidden="1">0</definedName>
    <definedName name="solver_rhs3" localSheetId="0" hidden="1">20</definedName>
    <definedName name="solver_rhs4" localSheetId="0" hidden="1">30</definedName>
    <definedName name="solver_rhs5" localSheetId="0" hidden="1">20</definedName>
    <definedName name="solver_rhs6" localSheetId="0" hidden="1">6480</definedName>
    <definedName name="solver_rhs7" localSheetId="0" hidden="1">64</definedName>
    <definedName name="solver_rhs8" localSheetId="0" hidden="1">64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TEMP_HRS_CAP">'Summary &amp; PNL'!$C$25</definedName>
    <definedName name="TEMP_HRS_USED">'Summary &amp; PNL'!$C$44</definedName>
    <definedName name="TEMP_LABOR_COST">'Summary &amp; PNL'!$C$46</definedName>
    <definedName name="TEMP_RATE">'Summary &amp; PNL'!$C$26</definedName>
    <definedName name="TOM_BASE_HRS">'Summary &amp; PNL'!$C$8</definedName>
    <definedName name="TOM_DIM_PCT">'Summary &amp; PNL'!$C$9</definedName>
    <definedName name="TOM_FERT">'Summary &amp; PNL'!$C$7</definedName>
    <definedName name="TOM_MAX_BEDS">'Summary &amp; PNL'!$C$10</definedName>
    <definedName name="TOM_PRICE">'Summary &amp; PNL'!$C$6</definedName>
    <definedName name="TOTAL_FERTILIZER">'Summary &amp; PNL'!$C$50</definedName>
    <definedName name="TOTAL_LABOR_CAP">'Summary &amp; PNL'!$C$27</definedName>
    <definedName name="TOTAL_LABOR_COST">'Summary &amp; PNL'!$C$47</definedName>
    <definedName name="TOTAL_LABOR_HRS">'Summary &amp; PNL'!$C$42</definedName>
    <definedName name="TOTAL_PLANTED_BEDS">'Summary &amp; PNL'!$C$35</definedName>
    <definedName name="TOTAL_REVENUE">'Summary &amp; PNL'!$C$49</definedName>
    <definedName name="WEEKS">'Summary &amp; PNL'!$C$21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3" l="1"/>
  <c r="E17" i="3" s="1"/>
  <c r="D16" i="3"/>
  <c r="E16" i="3" s="1"/>
  <c r="D9" i="3"/>
  <c r="E9" i="3" s="1"/>
  <c r="D8" i="3"/>
  <c r="E8" i="3" s="1"/>
  <c r="D7" i="3"/>
  <c r="E7" i="3" s="1"/>
  <c r="G81" i="2"/>
  <c r="E81" i="2"/>
  <c r="B81" i="2"/>
  <c r="G80" i="2"/>
  <c r="E80" i="2"/>
  <c r="B80" i="2"/>
  <c r="G79" i="2"/>
  <c r="E79" i="2"/>
  <c r="B79" i="2"/>
  <c r="G78" i="2"/>
  <c r="E78" i="2"/>
  <c r="B78" i="2"/>
  <c r="G77" i="2"/>
  <c r="E77" i="2"/>
  <c r="B77" i="2"/>
  <c r="G76" i="2"/>
  <c r="E76" i="2"/>
  <c r="B76" i="2"/>
  <c r="G75" i="2"/>
  <c r="E75" i="2"/>
  <c r="B75" i="2"/>
  <c r="G74" i="2"/>
  <c r="E74" i="2"/>
  <c r="B74" i="2"/>
  <c r="G73" i="2"/>
  <c r="E73" i="2"/>
  <c r="B73" i="2"/>
  <c r="G72" i="2"/>
  <c r="E72" i="2"/>
  <c r="B72" i="2"/>
  <c r="G71" i="2"/>
  <c r="E71" i="2"/>
  <c r="B71" i="2"/>
  <c r="G70" i="2"/>
  <c r="E70" i="2"/>
  <c r="B70" i="2"/>
  <c r="G69" i="2"/>
  <c r="E69" i="2"/>
  <c r="B69" i="2"/>
  <c r="G68" i="2"/>
  <c r="E68" i="2"/>
  <c r="B68" i="2"/>
  <c r="G67" i="2"/>
  <c r="E67" i="2"/>
  <c r="B67" i="2"/>
  <c r="G66" i="2"/>
  <c r="E66" i="2"/>
  <c r="B66" i="2"/>
  <c r="G65" i="2"/>
  <c r="E65" i="2"/>
  <c r="B65" i="2"/>
  <c r="G64" i="2"/>
  <c r="E64" i="2"/>
  <c r="B64" i="2"/>
  <c r="G63" i="2"/>
  <c r="E63" i="2"/>
  <c r="B63" i="2"/>
  <c r="G62" i="2"/>
  <c r="E62" i="2"/>
  <c r="B62" i="2"/>
  <c r="G61" i="2"/>
  <c r="E61" i="2"/>
  <c r="B61" i="2"/>
  <c r="G60" i="2"/>
  <c r="E60" i="2"/>
  <c r="B60" i="2"/>
  <c r="G59" i="2"/>
  <c r="E59" i="2"/>
  <c r="B59" i="2"/>
  <c r="G58" i="2"/>
  <c r="E58" i="2"/>
  <c r="B58" i="2"/>
  <c r="G57" i="2"/>
  <c r="E57" i="2"/>
  <c r="B57" i="2"/>
  <c r="G56" i="2"/>
  <c r="E56" i="2"/>
  <c r="B56" i="2"/>
  <c r="G55" i="2"/>
  <c r="E55" i="2"/>
  <c r="B55" i="2"/>
  <c r="G54" i="2"/>
  <c r="E54" i="2"/>
  <c r="B54" i="2"/>
  <c r="G53" i="2"/>
  <c r="E53" i="2"/>
  <c r="B53" i="2"/>
  <c r="G52" i="2"/>
  <c r="E52" i="2"/>
  <c r="B52" i="2"/>
  <c r="G48" i="2"/>
  <c r="E48" i="2"/>
  <c r="B48" i="2"/>
  <c r="G47" i="2"/>
  <c r="E47" i="2"/>
  <c r="B47" i="2"/>
  <c r="G46" i="2"/>
  <c r="E46" i="2"/>
  <c r="B46" i="2"/>
  <c r="G45" i="2"/>
  <c r="E45" i="2"/>
  <c r="B45" i="2"/>
  <c r="G44" i="2"/>
  <c r="E44" i="2"/>
  <c r="B44" i="2"/>
  <c r="G43" i="2"/>
  <c r="E43" i="2"/>
  <c r="B43" i="2"/>
  <c r="G42" i="2"/>
  <c r="E42" i="2"/>
  <c r="B42" i="2"/>
  <c r="G41" i="2"/>
  <c r="E41" i="2"/>
  <c r="B41" i="2"/>
  <c r="G40" i="2"/>
  <c r="E40" i="2"/>
  <c r="B40" i="2"/>
  <c r="G39" i="2"/>
  <c r="E39" i="2"/>
  <c r="B39" i="2"/>
  <c r="G38" i="2"/>
  <c r="E38" i="2"/>
  <c r="B38" i="2"/>
  <c r="G37" i="2"/>
  <c r="E37" i="2"/>
  <c r="B37" i="2"/>
  <c r="G36" i="2"/>
  <c r="E36" i="2"/>
  <c r="B36" i="2"/>
  <c r="G35" i="2"/>
  <c r="E35" i="2"/>
  <c r="B35" i="2"/>
  <c r="G34" i="2"/>
  <c r="E34" i="2"/>
  <c r="B34" i="2"/>
  <c r="G33" i="2"/>
  <c r="E33" i="2"/>
  <c r="B33" i="2"/>
  <c r="G32" i="2"/>
  <c r="E32" i="2"/>
  <c r="B32" i="2"/>
  <c r="G31" i="2"/>
  <c r="E31" i="2"/>
  <c r="B31" i="2"/>
  <c r="G30" i="2"/>
  <c r="E30" i="2"/>
  <c r="B30" i="2"/>
  <c r="G29" i="2"/>
  <c r="E29" i="2"/>
  <c r="B29" i="2"/>
  <c r="G25" i="2"/>
  <c r="E25" i="2"/>
  <c r="B25" i="2"/>
  <c r="G24" i="2"/>
  <c r="E24" i="2"/>
  <c r="B24" i="2"/>
  <c r="G23" i="2"/>
  <c r="E23" i="2"/>
  <c r="B23" i="2"/>
  <c r="G22" i="2"/>
  <c r="E22" i="2"/>
  <c r="B22" i="2"/>
  <c r="G21" i="2"/>
  <c r="E21" i="2"/>
  <c r="B21" i="2"/>
  <c r="G20" i="2"/>
  <c r="E20" i="2"/>
  <c r="B20" i="2"/>
  <c r="G19" i="2"/>
  <c r="E19" i="2"/>
  <c r="B19" i="2"/>
  <c r="G18" i="2"/>
  <c r="E18" i="2"/>
  <c r="B18" i="2"/>
  <c r="G17" i="2"/>
  <c r="E17" i="2"/>
  <c r="B17" i="2"/>
  <c r="G16" i="2"/>
  <c r="E16" i="2"/>
  <c r="B16" i="2"/>
  <c r="G15" i="2"/>
  <c r="E15" i="2"/>
  <c r="B15" i="2"/>
  <c r="G14" i="2"/>
  <c r="E14" i="2"/>
  <c r="B14" i="2"/>
  <c r="G13" i="2"/>
  <c r="E13" i="2"/>
  <c r="B13" i="2"/>
  <c r="G12" i="2"/>
  <c r="E12" i="2"/>
  <c r="B12" i="2"/>
  <c r="G11" i="2"/>
  <c r="E11" i="2"/>
  <c r="B11" i="2"/>
  <c r="G10" i="2"/>
  <c r="E10" i="2"/>
  <c r="B10" i="2"/>
  <c r="G9" i="2"/>
  <c r="E9" i="2"/>
  <c r="B9" i="2"/>
  <c r="G8" i="2"/>
  <c r="E8" i="2"/>
  <c r="B8" i="2"/>
  <c r="G7" i="2"/>
  <c r="E7" i="2"/>
  <c r="B7" i="2"/>
  <c r="G6" i="2"/>
  <c r="E6" i="2"/>
  <c r="B6" i="2"/>
  <c r="D61" i="1"/>
  <c r="D60" i="1"/>
  <c r="D59" i="1"/>
  <c r="B59" i="1"/>
  <c r="D58" i="1"/>
  <c r="B58" i="1"/>
  <c r="D57" i="1"/>
  <c r="B57" i="1"/>
  <c r="F57" i="1" s="1"/>
  <c r="C51" i="1"/>
  <c r="C50" i="1"/>
  <c r="D13" i="3" s="1"/>
  <c r="E13" i="3" s="1"/>
  <c r="C49" i="1"/>
  <c r="C41" i="1"/>
  <c r="C40" i="1"/>
  <c r="C39" i="1"/>
  <c r="D35" i="1"/>
  <c r="C35" i="1"/>
  <c r="D33" i="1"/>
  <c r="D32" i="1"/>
  <c r="F59" i="1" l="1"/>
  <c r="C42" i="1"/>
  <c r="E59" i="1"/>
  <c r="E58" i="1"/>
  <c r="F58" i="1"/>
  <c r="E57" i="1"/>
  <c r="C81" i="2"/>
  <c r="D81" i="2" s="1"/>
  <c r="F81" i="2" s="1"/>
  <c r="H81" i="2" s="1"/>
  <c r="C80" i="2"/>
  <c r="D80" i="2"/>
  <c r="F80" i="2" s="1"/>
  <c r="H80" i="2" s="1"/>
  <c r="C79" i="2"/>
  <c r="D79" i="2" s="1"/>
  <c r="F79" i="2" s="1"/>
  <c r="H79" i="2" s="1"/>
  <c r="C78" i="2"/>
  <c r="D78" i="2"/>
  <c r="F78" i="2" s="1"/>
  <c r="H78" i="2" s="1"/>
  <c r="C77" i="2"/>
  <c r="D77" i="2" s="1"/>
  <c r="F77" i="2" s="1"/>
  <c r="H77" i="2" s="1"/>
  <c r="C76" i="2"/>
  <c r="D76" i="2"/>
  <c r="F76" i="2" s="1"/>
  <c r="H76" i="2" s="1"/>
  <c r="C75" i="2"/>
  <c r="D75" i="2"/>
  <c r="F75" i="2" s="1"/>
  <c r="H75" i="2" s="1"/>
  <c r="C74" i="2"/>
  <c r="D74" i="2" s="1"/>
  <c r="F74" i="2" s="1"/>
  <c r="H74" i="2" s="1"/>
  <c r="C73" i="2"/>
  <c r="D73" i="2"/>
  <c r="F73" i="2" s="1"/>
  <c r="H73" i="2" s="1"/>
  <c r="C72" i="2"/>
  <c r="D72" i="2"/>
  <c r="F72" i="2" s="1"/>
  <c r="H72" i="2" s="1"/>
  <c r="C71" i="2"/>
  <c r="D71" i="2"/>
  <c r="F71" i="2" s="1"/>
  <c r="H71" i="2" s="1"/>
  <c r="C70" i="2"/>
  <c r="D70" i="2" s="1"/>
  <c r="F70" i="2" s="1"/>
  <c r="H70" i="2" s="1"/>
  <c r="C69" i="2"/>
  <c r="D69" i="2" s="1"/>
  <c r="F69" i="2" s="1"/>
  <c r="H69" i="2" s="1"/>
  <c r="C68" i="2"/>
  <c r="D68" i="2" s="1"/>
  <c r="F68" i="2" s="1"/>
  <c r="H68" i="2" s="1"/>
  <c r="D67" i="2"/>
  <c r="F67" i="2" s="1"/>
  <c r="H67" i="2" s="1"/>
  <c r="C67" i="2"/>
  <c r="C66" i="2"/>
  <c r="D66" i="2"/>
  <c r="F66" i="2" s="1"/>
  <c r="H66" i="2" s="1"/>
  <c r="C65" i="2"/>
  <c r="D65" i="2"/>
  <c r="F65" i="2" s="1"/>
  <c r="H65" i="2" s="1"/>
  <c r="C64" i="2"/>
  <c r="D64" i="2"/>
  <c r="F64" i="2" s="1"/>
  <c r="H64" i="2" s="1"/>
  <c r="C63" i="2"/>
  <c r="D63" i="2" s="1"/>
  <c r="F63" i="2" s="1"/>
  <c r="H63" i="2" s="1"/>
  <c r="C62" i="2"/>
  <c r="D62" i="2" s="1"/>
  <c r="F62" i="2" s="1"/>
  <c r="H62" i="2" s="1"/>
  <c r="C61" i="2"/>
  <c r="D61" i="2" s="1"/>
  <c r="F61" i="2" s="1"/>
  <c r="H61" i="2" s="1"/>
  <c r="C60" i="2"/>
  <c r="D60" i="2" s="1"/>
  <c r="F60" i="2" s="1"/>
  <c r="H60" i="2" s="1"/>
  <c r="C59" i="2"/>
  <c r="D59" i="2"/>
  <c r="F59" i="2" s="1"/>
  <c r="H59" i="2" s="1"/>
  <c r="C58" i="2"/>
  <c r="D58" i="2" s="1"/>
  <c r="F58" i="2" s="1"/>
  <c r="H58" i="2" s="1"/>
  <c r="C57" i="2"/>
  <c r="D57" i="2"/>
  <c r="F57" i="2" s="1"/>
  <c r="H57" i="2" s="1"/>
  <c r="C56" i="2"/>
  <c r="D56" i="2"/>
  <c r="F56" i="2" s="1"/>
  <c r="H56" i="2" s="1"/>
  <c r="C55" i="2"/>
  <c r="D55" i="2" s="1"/>
  <c r="F55" i="2" s="1"/>
  <c r="H55" i="2" s="1"/>
  <c r="C54" i="2"/>
  <c r="D54" i="2"/>
  <c r="F54" i="2" s="1"/>
  <c r="H54" i="2" s="1"/>
  <c r="C53" i="2"/>
  <c r="D53" i="2"/>
  <c r="F53" i="2" s="1"/>
  <c r="H53" i="2" s="1"/>
  <c r="C52" i="2"/>
  <c r="D52" i="2" s="1"/>
  <c r="F52" i="2" s="1"/>
  <c r="H52" i="2" s="1"/>
  <c r="C48" i="2"/>
  <c r="D48" i="2" s="1"/>
  <c r="F48" i="2" s="1"/>
  <c r="H48" i="2" s="1"/>
  <c r="C47" i="2"/>
  <c r="D47" i="2" s="1"/>
  <c r="F47" i="2" s="1"/>
  <c r="H47" i="2" s="1"/>
  <c r="C46" i="2"/>
  <c r="D46" i="2" s="1"/>
  <c r="F46" i="2" s="1"/>
  <c r="H46" i="2" s="1"/>
  <c r="C45" i="2"/>
  <c r="D45" i="2"/>
  <c r="F45" i="2" s="1"/>
  <c r="H45" i="2" s="1"/>
  <c r="C44" i="2"/>
  <c r="D44" i="2"/>
  <c r="F44" i="2" s="1"/>
  <c r="H44" i="2" s="1"/>
  <c r="C43" i="2"/>
  <c r="D43" i="2" s="1"/>
  <c r="F43" i="2" s="1"/>
  <c r="H43" i="2" s="1"/>
  <c r="C42" i="2"/>
  <c r="D42" i="2"/>
  <c r="F42" i="2" s="1"/>
  <c r="H42" i="2" s="1"/>
  <c r="C41" i="2"/>
  <c r="D41" i="2"/>
  <c r="F41" i="2" s="1"/>
  <c r="H41" i="2" s="1"/>
  <c r="C40" i="2"/>
  <c r="D40" i="2" s="1"/>
  <c r="F40" i="2" s="1"/>
  <c r="H40" i="2" s="1"/>
  <c r="C39" i="2"/>
  <c r="D39" i="2"/>
  <c r="F39" i="2" s="1"/>
  <c r="H39" i="2" s="1"/>
  <c r="C38" i="2"/>
  <c r="D38" i="2"/>
  <c r="F38" i="2" s="1"/>
  <c r="H38" i="2" s="1"/>
  <c r="C37" i="2"/>
  <c r="D37" i="2" s="1"/>
  <c r="F37" i="2" s="1"/>
  <c r="H37" i="2" s="1"/>
  <c r="C36" i="2"/>
  <c r="D36" i="2"/>
  <c r="F36" i="2" s="1"/>
  <c r="H36" i="2" s="1"/>
  <c r="C35" i="2"/>
  <c r="D35" i="2" s="1"/>
  <c r="F35" i="2" s="1"/>
  <c r="H35" i="2" s="1"/>
  <c r="C34" i="2"/>
  <c r="D34" i="2" s="1"/>
  <c r="F34" i="2" s="1"/>
  <c r="H34" i="2" s="1"/>
  <c r="C33" i="2"/>
  <c r="D33" i="2"/>
  <c r="F33" i="2" s="1"/>
  <c r="H33" i="2" s="1"/>
  <c r="C32" i="2"/>
  <c r="D32" i="2"/>
  <c r="F32" i="2" s="1"/>
  <c r="H32" i="2" s="1"/>
  <c r="C31" i="2"/>
  <c r="D31" i="2" s="1"/>
  <c r="F31" i="2" s="1"/>
  <c r="H31" i="2" s="1"/>
  <c r="C30" i="2"/>
  <c r="D30" i="2"/>
  <c r="F30" i="2" s="1"/>
  <c r="H30" i="2" s="1"/>
  <c r="C29" i="2"/>
  <c r="D29" i="2" s="1"/>
  <c r="F29" i="2" s="1"/>
  <c r="H29" i="2" s="1"/>
  <c r="C25" i="2"/>
  <c r="D25" i="2" s="1"/>
  <c r="F25" i="2" s="1"/>
  <c r="H25" i="2" s="1"/>
  <c r="C24" i="2"/>
  <c r="D24" i="2" s="1"/>
  <c r="F24" i="2" s="1"/>
  <c r="H24" i="2" s="1"/>
  <c r="D23" i="2"/>
  <c r="F23" i="2" s="1"/>
  <c r="H23" i="2" s="1"/>
  <c r="C23" i="2"/>
  <c r="C22" i="2"/>
  <c r="D22" i="2" s="1"/>
  <c r="F22" i="2" s="1"/>
  <c r="H22" i="2" s="1"/>
  <c r="C21" i="2"/>
  <c r="D21" i="2" s="1"/>
  <c r="F21" i="2" s="1"/>
  <c r="H21" i="2" s="1"/>
  <c r="C20" i="2"/>
  <c r="D20" i="2"/>
  <c r="F20" i="2" s="1"/>
  <c r="H20" i="2" s="1"/>
  <c r="C19" i="2"/>
  <c r="D19" i="2" s="1"/>
  <c r="F19" i="2" s="1"/>
  <c r="H19" i="2" s="1"/>
  <c r="C18" i="2"/>
  <c r="D18" i="2"/>
  <c r="F18" i="2" s="1"/>
  <c r="H18" i="2" s="1"/>
  <c r="C17" i="2"/>
  <c r="D17" i="2" s="1"/>
  <c r="F17" i="2" s="1"/>
  <c r="H17" i="2" s="1"/>
  <c r="C16" i="2"/>
  <c r="D16" i="2"/>
  <c r="F16" i="2" s="1"/>
  <c r="H16" i="2" s="1"/>
  <c r="C15" i="2"/>
  <c r="D15" i="2" s="1"/>
  <c r="F15" i="2" s="1"/>
  <c r="H15" i="2" s="1"/>
  <c r="C14" i="2"/>
  <c r="D14" i="2" s="1"/>
  <c r="F14" i="2" s="1"/>
  <c r="H14" i="2" s="1"/>
  <c r="C13" i="2"/>
  <c r="D13" i="2"/>
  <c r="F13" i="2" s="1"/>
  <c r="H13" i="2" s="1"/>
  <c r="C12" i="2"/>
  <c r="D12" i="2"/>
  <c r="F12" i="2" s="1"/>
  <c r="H12" i="2" s="1"/>
  <c r="C11" i="2"/>
  <c r="D11" i="2" s="1"/>
  <c r="F11" i="2" s="1"/>
  <c r="H11" i="2" s="1"/>
  <c r="D10" i="2"/>
  <c r="F10" i="2" s="1"/>
  <c r="H10" i="2" s="1"/>
  <c r="C10" i="2"/>
  <c r="C9" i="2"/>
  <c r="D9" i="2" s="1"/>
  <c r="F9" i="2" s="1"/>
  <c r="H9" i="2" s="1"/>
  <c r="C8" i="2"/>
  <c r="D8" i="2"/>
  <c r="F8" i="2" s="1"/>
  <c r="H8" i="2" s="1"/>
  <c r="C7" i="2"/>
  <c r="D7" i="2"/>
  <c r="F7" i="2" s="1"/>
  <c r="H7" i="2" s="1"/>
  <c r="D6" i="3"/>
  <c r="E6" i="3" s="1"/>
  <c r="C6" i="2"/>
  <c r="D6" i="2" s="1"/>
  <c r="F6" i="2" s="1"/>
  <c r="H6" i="2" s="1"/>
  <c r="D12" i="3"/>
  <c r="E12" i="3" s="1"/>
  <c r="D10" i="3"/>
  <c r="E10" i="3" s="1"/>
  <c r="F35" i="1"/>
  <c r="B60" i="1"/>
  <c r="E35" i="1"/>
  <c r="F34" i="1"/>
  <c r="E34" i="1"/>
  <c r="F33" i="1"/>
  <c r="E33" i="1"/>
  <c r="F32" i="1"/>
  <c r="E32" i="1"/>
  <c r="C43" i="1" l="1"/>
  <c r="C45" i="1" s="1"/>
  <c r="C44" i="1"/>
  <c r="C46" i="1" s="1"/>
  <c r="B61" i="1"/>
  <c r="D11" i="3"/>
  <c r="E11" i="3" s="1"/>
  <c r="E60" i="1"/>
  <c r="F60" i="1"/>
  <c r="E61" i="1" l="1"/>
  <c r="F61" i="1"/>
  <c r="C47" i="1"/>
  <c r="C52" i="1" s="1"/>
  <c r="D15" i="3" s="1"/>
  <c r="E15" i="3" s="1"/>
  <c r="C48" i="1" l="1"/>
  <c r="D14" i="3"/>
  <c r="E14" i="3" s="1"/>
</calcChain>
</file>

<file path=xl/sharedStrings.xml><?xml version="1.0" encoding="utf-8"?>
<sst xmlns="http://schemas.openxmlformats.org/spreadsheetml/2006/main" count="283" uniqueCount="190">
  <si>
    <t>Stage 2 Marginal Analysis &amp; Optimization Model</t>
  </si>
  <si>
    <t>Farm Profit Maximization under Land &amp; Labor Constraints | Model Version 1.0</t>
  </si>
  <si>
    <t>1. INPUT ASSUMPTIONS (THE NAMED CONTRACT)</t>
  </si>
  <si>
    <t>Crop / Category</t>
  </si>
  <si>
    <t>Variable Name</t>
  </si>
  <si>
    <t>Value</t>
  </si>
  <si>
    <t>Unit</t>
  </si>
  <si>
    <t>Description / Logic</t>
  </si>
  <si>
    <t>Tomato</t>
  </si>
  <si>
    <t>TOM_PRICE</t>
  </si>
  <si>
    <t>USD / bed</t>
  </si>
  <si>
    <t>Revenue generated per bed of tomatoes</t>
  </si>
  <si>
    <t>TOM_FERT</t>
  </si>
  <si>
    <t>Fertilizer cost per bed of tomatoes</t>
  </si>
  <si>
    <t>TOM_BASE_HRS</t>
  </si>
  <si>
    <t>hrs / wk / bed</t>
  </si>
  <si>
    <t>Base labor required per bed per week</t>
  </si>
  <si>
    <t>TOM_DIM_PCT</t>
  </si>
  <si>
    <t>% penalty</t>
  </si>
  <si>
    <t>Diminishing returns labor penalty rate</t>
  </si>
  <si>
    <t>TOM_MAX_BEDS</t>
  </si>
  <si>
    <t>beds</t>
  </si>
  <si>
    <t>Maximum bed capacity for tomatoes</t>
  </si>
  <si>
    <t>Carrot</t>
  </si>
  <si>
    <t>CAR_PRICE</t>
  </si>
  <si>
    <t>Revenue generated per bed of carrots</t>
  </si>
  <si>
    <t>CAR_FERT</t>
  </si>
  <si>
    <t>Fertilizer cost per bed of carrots</t>
  </si>
  <si>
    <t>CAR_BASE_HRS</t>
  </si>
  <si>
    <t>CAR_DIM_PCT</t>
  </si>
  <si>
    <t>CAR_MAX_BEDS</t>
  </si>
  <si>
    <t>Maximum bed capacity for carrots</t>
  </si>
  <si>
    <t>Mesclun</t>
  </si>
  <si>
    <t>MES_PRICE</t>
  </si>
  <si>
    <t>Revenue generated per bed of mesclun</t>
  </si>
  <si>
    <t>MES_FERT</t>
  </si>
  <si>
    <t>Fertilizer cost per bed of mesclun</t>
  </si>
  <si>
    <t>MES_BASE_HRS</t>
  </si>
  <si>
    <t>MES_DIM_PCT</t>
  </si>
  <si>
    <t>MES_MAX_BEDS</t>
  </si>
  <si>
    <t>Maximum bed capacity for mesclun</t>
  </si>
  <si>
    <t>Farm Operations</t>
  </si>
  <si>
    <t>WEEKS</t>
  </si>
  <si>
    <t>weeks / season</t>
  </si>
  <si>
    <t>Total weeks in growing season</t>
  </si>
  <si>
    <t>FARM_MAX_BEDS</t>
  </si>
  <si>
    <t>Total available land capacity</t>
  </si>
  <si>
    <t>Labor Cap</t>
  </si>
  <si>
    <t>OWNER_HRS_CAP</t>
  </si>
  <si>
    <t>hours</t>
  </si>
  <si>
    <t>Maximum available owner labor hours</t>
  </si>
  <si>
    <t>Labor Rate</t>
  </si>
  <si>
    <t>OWNER_RATE</t>
  </si>
  <si>
    <t>USD / hr</t>
  </si>
  <si>
    <t>Hourly cost rate for owner labor</t>
  </si>
  <si>
    <t>TEMP_HRS_CAP</t>
  </si>
  <si>
    <t>Maximum available temp worker hours</t>
  </si>
  <si>
    <t>TEMP_RATE</t>
  </si>
  <si>
    <t>Hourly cost rate for temp labor</t>
  </si>
  <si>
    <t>TOTAL_LABOR_CAP</t>
  </si>
  <si>
    <t>Total farm seasonal labor hours cap</t>
  </si>
  <si>
    <t>Overhead</t>
  </si>
  <si>
    <t>FIXED_OVERHEAD</t>
  </si>
  <si>
    <t>USD / season</t>
  </si>
  <si>
    <t>Fixed seasonal overhead expenses</t>
  </si>
  <si>
    <t>2. DECISION VARIABLES &amp; BED ALLOCATION</t>
  </si>
  <si>
    <t>Crop</t>
  </si>
  <si>
    <t>Planted Beds</t>
  </si>
  <si>
    <t>Max Beds Cap</t>
  </si>
  <si>
    <t>Utilization</t>
  </si>
  <si>
    <t>Status / Constraint</t>
  </si>
  <si>
    <t>BEDS_TOMATO</t>
  </si>
  <si>
    <t>BEDS_CARROT</t>
  </si>
  <si>
    <t>BEDS_MESCLUN</t>
  </si>
  <si>
    <t>Total Planted Beds</t>
  </si>
  <si>
    <t>TOTAL_PLANTED_BEDS</t>
  </si>
  <si>
    <t>3. COST STRUCTURE &amp; SEASONAL P&amp;L STATEMENT</t>
  </si>
  <si>
    <t>Metric / Line Item</t>
  </si>
  <si>
    <t>Defined Name</t>
  </si>
  <si>
    <t>Value / Output</t>
  </si>
  <si>
    <t>Formula / Specification Logic</t>
  </si>
  <si>
    <t>Tomato Labor Hours</t>
  </si>
  <si>
    <t>LABOR_HRS_TOMATO</t>
  </si>
  <si>
    <t>BEDS_TOMATO * TOM_BASE_HRS * WEEKS * (1+TOM_DIM_PCT)^BEDS_TOMATO</t>
  </si>
  <si>
    <t>Carrot Labor Hours</t>
  </si>
  <si>
    <t>LABOR_HRS_CARROT</t>
  </si>
  <si>
    <t>BEDS_CARROT * CAR_BASE_HRS * WEEKS * (1+CAR_DIM_PCT)^BEDS_CARROT</t>
  </si>
  <si>
    <t>Mesclun Labor Hours</t>
  </si>
  <si>
    <t>LABOR_HRS_MESCLUN</t>
  </si>
  <si>
    <t>BEDS_MESCLUN * MES_BASE_HRS * WEEKS * (1+MES_DIM_PCT)^BEDS_MESCLUN</t>
  </si>
  <si>
    <t>Total Farm Labor Hours</t>
  </si>
  <si>
    <t>TOTAL_LABOR_HRS</t>
  </si>
  <si>
    <t>LABOR_HRS_TOMATO + LABOR_HRS_CARROT + LABOR_HRS_MESCLUN</t>
  </si>
  <si>
    <t>Owner Hours Used</t>
  </si>
  <si>
    <t>OWNER_HRS_USED</t>
  </si>
  <si>
    <t>MIN(TOTAL_LABOR_HRS, OWNER_HRS_CAP)</t>
  </si>
  <si>
    <t>Temp Labor Hours Used</t>
  </si>
  <si>
    <t>TEMP_HRS_USED</t>
  </si>
  <si>
    <t>MAX(0, TOTAL_LABOR_HRS - OWNER_HRS_CAP)</t>
  </si>
  <si>
    <t>Owner Labor Cost</t>
  </si>
  <si>
    <t>OWNER_LABOR_COST</t>
  </si>
  <si>
    <t>USD</t>
  </si>
  <si>
    <t>OWNER_HRS_USED * OWNER_RATE</t>
  </si>
  <si>
    <t>Temp Labor Cost</t>
  </si>
  <si>
    <t>TEMP_LABOR_COST</t>
  </si>
  <si>
    <t>TEMP_HRS_USED * TEMP_RATE</t>
  </si>
  <si>
    <t>Total Labor Cost</t>
  </si>
  <si>
    <t>TOTAL_LABOR_COST</t>
  </si>
  <si>
    <t>(OWNER_HRS_USED * OWNER_RATE) + (TEMP_HRS_USED * TEMP_RATE)</t>
  </si>
  <si>
    <t>Blended Labor Rate</t>
  </si>
  <si>
    <t>BLENDED_LABOR_RATE</t>
  </si>
  <si>
    <t>TOTAL_LABOR_COST / TOTAL_LABOR_HRS</t>
  </si>
  <si>
    <t>Total Revenue</t>
  </si>
  <si>
    <t>TOTAL_REVENUE</t>
  </si>
  <si>
    <t>(BEDS_TOMATO * TOM_PRICE) + (BEDS_CARROT * CAR_PRICE) + (BEDS_MESCLUN * MES_PRICE)</t>
  </si>
  <si>
    <t>Total Fertilizer Expense</t>
  </si>
  <si>
    <t>TOTAL_FERTILIZER</t>
  </si>
  <si>
    <t>(BEDS_TOMATO * TOM_FERT) + (BEDS_CARROT * CAR_FERT) + (BEDS_MESCLUN * MES_FERT)</t>
  </si>
  <si>
    <t>Fixed Seasonal Overhead</t>
  </si>
  <si>
    <t>FIXED_OVERHEAD_EXP</t>
  </si>
  <si>
    <t>FIXED_OVERHEAD ($20,000)</t>
  </si>
  <si>
    <t>Net Seasonal Profit</t>
  </si>
  <si>
    <t>SEASON_PROFIT</t>
  </si>
  <si>
    <t>TOTAL_REVENUE - TOTAL_FERTILIZER - TOTAL_LABOR_COST - FIXED_OVERHEAD</t>
  </si>
  <si>
    <t>4. OPTIMIZATION CONSTRAINTS &amp; SOLVER AUDIT STATUS</t>
  </si>
  <si>
    <t>Constraint Category</t>
  </si>
  <si>
    <t>Actual Usage</t>
  </si>
  <si>
    <t>Constraint Relation</t>
  </si>
  <si>
    <t>Limit / Cap</t>
  </si>
  <si>
    <t>Slack / Remaining</t>
  </si>
  <si>
    <t>Status</t>
  </si>
  <si>
    <t>Tomato Bed Limit</t>
  </si>
  <si>
    <t>&lt;=</t>
  </si>
  <si>
    <t>Carrot Bed Limit</t>
  </si>
  <si>
    <t>Mesclun Bed Limit</t>
  </si>
  <si>
    <t>Farm Total Land Cap</t>
  </si>
  <si>
    <t>Farm Total Labor Cap</t>
  </si>
  <si>
    <t>Marginal-Cost Schedules &amp; Price Comparisons</t>
  </si>
  <si>
    <t>Incremental Labor, Marginal Labor Cost, Total MC vs Price (P) per Bed</t>
  </si>
  <si>
    <t>Tomato Marginal-Cost Schedule</t>
  </si>
  <si>
    <t>Bed (q)</t>
  </si>
  <si>
    <t>Cumulative Hours</t>
  </si>
  <si>
    <t>Marginal Hours</t>
  </si>
  <si>
    <t>Marginal Labor Cost</t>
  </si>
  <si>
    <t>Fertilizer Cost</t>
  </si>
  <si>
    <t>Total MC (MC)</t>
  </si>
  <si>
    <t>Price (P)</t>
  </si>
  <si>
    <t>Marginal Profit (P - MC)</t>
  </si>
  <si>
    <t>Carrot Marginal-Cost Schedule</t>
  </si>
  <si>
    <t>Mesclun Marginal-Cost Schedule</t>
  </si>
  <si>
    <t>Model Audit &amp; Validation Checklist</t>
  </si>
  <si>
    <t>Verification of Specification Rules, Single-Bed Labor, Initial Mix, and Target Output</t>
  </si>
  <si>
    <t>1. AUDIT CHECKS &amp; VERIFICATION SUMMARY</t>
  </si>
  <si>
    <t>Test #</t>
  </si>
  <si>
    <t>Validation Rule Description</t>
  </si>
  <si>
    <t>Expected Spec Value</t>
  </si>
  <si>
    <t>Actual Model Value</t>
  </si>
  <si>
    <t>Audit Notes</t>
  </si>
  <si>
    <t>Single-Bed Tomato Labor Hours (q=1)</t>
  </si>
  <si>
    <t>99.0 hours</t>
  </si>
  <si>
    <t>Formula: 1 * 2.5 * 36 * (1 + 0.10)^1</t>
  </si>
  <si>
    <t>Optimal Tomato Beds (BEDS_TOMATO)</t>
  </si>
  <si>
    <t>10 beds</t>
  </si>
  <si>
    <t>Optimal allocation from Solver</t>
  </si>
  <si>
    <t>Optimal Carrot Beds (BEDS_CARROT)</t>
  </si>
  <si>
    <t>20 beds</t>
  </si>
  <si>
    <t>Optimal Mesclun Beds (BEDS_MESCLUN)</t>
  </si>
  <si>
    <t>30 beds</t>
  </si>
  <si>
    <t>60 beds</t>
  </si>
  <si>
    <t>Within 64 land cap</t>
  </si>
  <si>
    <t>Optimal Seasonal Labor Hours</t>
  </si>
  <si>
    <t>~5,277 hours</t>
  </si>
  <si>
    <t>Within 6,480 labor cap</t>
  </si>
  <si>
    <t>Total Seasonal Revenue</t>
  </si>
  <si>
    <t>$210,880</t>
  </si>
  <si>
    <t>Exact spec target match</t>
  </si>
  <si>
    <t>Total Fertilizer Cost</t>
  </si>
  <si>
    <t>$44,000</t>
  </si>
  <si>
    <t>~$104,118</t>
  </si>
  <si>
    <t>Owner + Temp labor combined</t>
  </si>
  <si>
    <t>Net Seasonal Profit (SEASON_PROFIT)</t>
  </si>
  <si>
    <t>$42,775</t>
  </si>
  <si>
    <t>Formula target $42,775 (tolerance +- $20 covers $42,762 rounding)</t>
  </si>
  <si>
    <t>Initial Mix Labor Feasibility Check (20/20/24)</t>
  </si>
  <si>
    <t>&gt; 6,480 hours (Feasibility Warning)</t>
  </si>
  <si>
    <t>Confirms 14,547 hrs &gt; 6,480 hrs labor cap, proving initial mix unfeasible</t>
  </si>
  <si>
    <t>Solver Convergence Check (Multi-Start 0/0/0 and 20/0/0)</t>
  </si>
  <si>
    <t>10 / 20 / 30 beds</t>
  </si>
  <si>
    <t>Verifies Solver consistently reaches optimal 10/20/30 mix from multiple initial seeds</t>
  </si>
  <si>
    <t>Mesclun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</si>
</sst>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"/>
    <numFmt numFmtId="177" formatCode="0.000"/>
    <numFmt numFmtId="178" formatCode="0.0%"/>
    <numFmt numFmtId="179" formatCode="0.000%"/>
    <numFmt numFmtId="180" formatCode="\$#,##0.00"/>
    <numFmt numFmtId="181" formatCode="0.0"/>
    <numFmt numFmtId="182" formatCode="#,##0.0"/>
  </numFmts>
  <fonts count="8" x14ac:knownFonts="1">
    <font>
      <sz val="11"/>
      <color theme="1"/>
      <name val="ＭＳ Ｐゴシック"/>
      <family val="2"/>
      <scheme val="minor"/>
    </font>
    <font>
      <b/>
      <sz val="16"/>
      <color rgb="FF1F4E79"/>
      <name val="Calibri"/>
      <family val="2"/>
    </font>
    <font>
      <i/>
      <sz val="11"/>
      <color rgb="FF595959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F9FBFD"/>
        <bgColor rgb="FFF9FBF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medium">
        <color rgb="FF1F4E79"/>
      </top>
      <bottom style="medium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E7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76" fontId="5" fillId="4" borderId="2" xfId="0" applyNumberFormat="1" applyFont="1" applyFill="1" applyBorder="1" applyAlignment="1">
      <alignment horizontal="right" vertical="center"/>
    </xf>
    <xf numFmtId="0" fontId="0" fillId="5" borderId="2" xfId="0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/>
    </xf>
    <xf numFmtId="177" fontId="5" fillId="4" borderId="2" xfId="0" applyNumberFormat="1" applyFont="1" applyFill="1" applyBorder="1" applyAlignment="1">
      <alignment horizontal="right" vertical="center"/>
    </xf>
    <xf numFmtId="178" fontId="5" fillId="4" borderId="2" xfId="0" applyNumberFormat="1" applyFont="1" applyFill="1" applyBorder="1" applyAlignment="1">
      <alignment horizontal="right" vertical="center"/>
    </xf>
    <xf numFmtId="1" fontId="5" fillId="4" borderId="2" xfId="0" applyNumberFormat="1" applyFont="1" applyFill="1" applyBorder="1" applyAlignment="1">
      <alignment horizontal="right" vertical="center"/>
    </xf>
    <xf numFmtId="10" fontId="5" fillId="4" borderId="2" xfId="0" applyNumberFormat="1" applyFont="1" applyFill="1" applyBorder="1" applyAlignment="1">
      <alignment horizontal="right" vertical="center"/>
    </xf>
    <xf numFmtId="179" fontId="5" fillId="4" borderId="2" xfId="0" applyNumberFormat="1" applyFont="1" applyFill="1" applyBorder="1" applyAlignment="1">
      <alignment horizontal="right" vertical="center"/>
    </xf>
    <xf numFmtId="3" fontId="5" fillId="4" borderId="2" xfId="0" applyNumberFormat="1" applyFont="1" applyFill="1" applyBorder="1" applyAlignment="1">
      <alignment horizontal="right" vertical="center"/>
    </xf>
    <xf numFmtId="180" fontId="5" fillId="4" borderId="2" xfId="0" applyNumberFormat="1" applyFont="1" applyFill="1" applyBorder="1" applyAlignment="1">
      <alignment horizontal="right" vertical="center"/>
    </xf>
    <xf numFmtId="1" fontId="5" fillId="6" borderId="2" xfId="0" applyNumberFormat="1" applyFont="1" applyFill="1" applyBorder="1" applyAlignment="1">
      <alignment horizontal="right" vertical="center"/>
    </xf>
    <xf numFmtId="1" fontId="0" fillId="0" borderId="2" xfId="0" applyNumberFormat="1" applyBorder="1" applyAlignment="1">
      <alignment horizontal="right" vertical="center"/>
    </xf>
    <xf numFmtId="178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5" fillId="0" borderId="3" xfId="0" applyFont="1" applyBorder="1"/>
    <xf numFmtId="1" fontId="5" fillId="7" borderId="3" xfId="0" applyNumberFormat="1" applyFont="1" applyFill="1" applyBorder="1" applyAlignment="1">
      <alignment horizontal="right" vertical="center"/>
    </xf>
    <xf numFmtId="1" fontId="5" fillId="0" borderId="3" xfId="0" applyNumberFormat="1" applyFont="1" applyBorder="1" applyAlignment="1">
      <alignment horizontal="right" vertical="center"/>
    </xf>
    <xf numFmtId="178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81" fontId="6" fillId="5" borderId="2" xfId="0" applyNumberFormat="1" applyFont="1" applyFill="1" applyBorder="1" applyAlignment="1">
      <alignment horizontal="right" vertical="center"/>
    </xf>
    <xf numFmtId="182" fontId="5" fillId="7" borderId="2" xfId="0" applyNumberFormat="1" applyFont="1" applyFill="1" applyBorder="1" applyAlignment="1">
      <alignment horizontal="right" vertical="center"/>
    </xf>
    <xf numFmtId="182" fontId="6" fillId="5" borderId="2" xfId="0" applyNumberFormat="1" applyFont="1" applyFill="1" applyBorder="1" applyAlignment="1">
      <alignment horizontal="right" vertical="center"/>
    </xf>
    <xf numFmtId="176" fontId="6" fillId="5" borderId="2" xfId="0" applyNumberFormat="1" applyFont="1" applyFill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176" fontId="5" fillId="7" borderId="3" xfId="0" applyNumberFormat="1" applyFont="1" applyFill="1" applyBorder="1" applyAlignment="1">
      <alignment horizontal="right" vertical="center"/>
    </xf>
    <xf numFmtId="0" fontId="0" fillId="0" borderId="3" xfId="0" applyBorder="1" applyAlignment="1">
      <alignment horizontal="left" vertical="center"/>
    </xf>
    <xf numFmtId="180" fontId="6" fillId="5" borderId="2" xfId="0" applyNumberFormat="1" applyFont="1" applyFill="1" applyBorder="1" applyAlignment="1">
      <alignment horizontal="right" vertical="center"/>
    </xf>
    <xf numFmtId="1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181" fontId="5" fillId="0" borderId="2" xfId="0" applyNumberFormat="1" applyFont="1" applyBorder="1" applyAlignment="1">
      <alignment horizontal="right" vertical="center"/>
    </xf>
    <xf numFmtId="181" fontId="0" fillId="0" borderId="2" xfId="0" applyNumberFormat="1" applyBorder="1" applyAlignment="1">
      <alignment horizontal="right" vertical="center"/>
    </xf>
    <xf numFmtId="0" fontId="0" fillId="5" borderId="2" xfId="0" applyFill="1" applyBorder="1" applyAlignment="1">
      <alignment horizontal="center" vertical="center"/>
    </xf>
    <xf numFmtId="182" fontId="0" fillId="5" borderId="2" xfId="0" applyNumberFormat="1" applyFill="1" applyBorder="1" applyAlignment="1">
      <alignment horizontal="right" vertical="center"/>
    </xf>
    <xf numFmtId="181" fontId="0" fillId="5" borderId="2" xfId="0" applyNumberFormat="1" applyFill="1" applyBorder="1" applyAlignment="1">
      <alignment horizontal="right" vertical="center"/>
    </xf>
    <xf numFmtId="180" fontId="0" fillId="5" borderId="2" xfId="0" applyNumberFormat="1" applyFill="1" applyBorder="1" applyAlignment="1">
      <alignment horizontal="right" vertical="center"/>
    </xf>
    <xf numFmtId="176" fontId="0" fillId="5" borderId="2" xfId="0" applyNumberFormat="1" applyFill="1" applyBorder="1" applyAlignment="1">
      <alignment horizontal="right" vertical="center"/>
    </xf>
    <xf numFmtId="180" fontId="5" fillId="5" borderId="2" xfId="0" applyNumberFormat="1" applyFont="1" applyFill="1" applyBorder="1" applyAlignment="1">
      <alignment horizontal="right" vertical="center"/>
    </xf>
    <xf numFmtId="176" fontId="5" fillId="5" borderId="2" xfId="0" applyNumberFormat="1" applyFont="1" applyFill="1" applyBorder="1" applyAlignment="1">
      <alignment horizontal="right" vertical="center"/>
    </xf>
    <xf numFmtId="182" fontId="0" fillId="0" borderId="2" xfId="0" applyNumberFormat="1" applyBorder="1" applyAlignment="1">
      <alignment horizontal="right" vertical="center"/>
    </xf>
    <xf numFmtId="180" fontId="0" fillId="0" borderId="2" xfId="0" applyNumberFormat="1" applyBorder="1" applyAlignment="1">
      <alignment horizontal="right" vertical="center"/>
    </xf>
    <xf numFmtId="176" fontId="0" fillId="0" borderId="2" xfId="0" applyNumberFormat="1" applyBorder="1" applyAlignment="1">
      <alignment horizontal="right" vertical="center"/>
    </xf>
    <xf numFmtId="180" fontId="5" fillId="0" borderId="2" xfId="0" applyNumberFormat="1" applyFont="1" applyBorder="1" applyAlignment="1">
      <alignment horizontal="right" vertical="center"/>
    </xf>
    <xf numFmtId="176" fontId="5" fillId="0" borderId="2" xfId="0" applyNumberFormat="1" applyFon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182" fontId="5" fillId="0" borderId="2" xfId="0" applyNumberFormat="1" applyFont="1" applyBorder="1" applyAlignment="1">
      <alignment horizontal="right" vertical="center"/>
    </xf>
    <xf numFmtId="0" fontId="0" fillId="5" borderId="2" xfId="0" applyFill="1" applyBorder="1" applyAlignment="1">
      <alignment horizontal="right" vertical="center"/>
    </xf>
    <xf numFmtId="1" fontId="5" fillId="5" borderId="2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center" vertical="center"/>
    </xf>
    <xf numFmtId="182" fontId="5" fillId="5" borderId="2" xfId="0" applyNumberFormat="1" applyFont="1" applyFill="1" applyBorder="1" applyAlignment="1">
      <alignment horizontal="right" vertical="center"/>
    </xf>
    <xf numFmtId="0" fontId="1" fillId="0" borderId="0" xfId="0" applyFont="1"/>
    <xf numFmtId="0" fontId="0" fillId="0" borderId="0" xfId="0"/>
    <xf numFmtId="0" fontId="3" fillId="2" borderId="0" xfId="0" applyFont="1" applyFill="1"/>
    <xf numFmtId="0" fontId="3" fillId="2" borderId="0" xfId="0" applyFont="1" applyFill="1" applyAlignment="1">
      <alignment horizontal="left" vertical="center"/>
    </xf>
    <xf numFmtId="0" fontId="2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ja-JP" b="1"/>
              <a:t>Tomatoes: Marginal Cost (MC) vs. Price (P)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Sheet1!$B$1:$B$2</c:f>
              <c:strCache>
                <c:ptCount val="2"/>
                <c:pt idx="0">
                  <c:v>Tomato Marginal-Cost Schedule</c:v>
                </c:pt>
                <c:pt idx="1">
                  <c:v>Total MC (MC)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Sheet1!$A$3:$A$22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Sheet1!$B$3:$B$22</c:f>
              <c:numCache>
                <c:formatCode>General</c:formatCode>
                <c:ptCount val="20"/>
                <c:pt idx="0">
                  <c:v>4317.2800000000007</c:v>
                </c:pt>
                <c:pt idx="1">
                  <c:v>5004.7360000000008</c:v>
                </c:pt>
                <c:pt idx="2">
                  <c:v>5795.3104000000021</c:v>
                </c:pt>
                <c:pt idx="3">
                  <c:v>6702.7523200000005</c:v>
                </c:pt>
                <c:pt idx="4">
                  <c:v>7660.4253999999992</c:v>
                </c:pt>
                <c:pt idx="5">
                  <c:v>4906.0173184000023</c:v>
                </c:pt>
                <c:pt idx="6">
                  <c:v>5585.4077408800049</c:v>
                </c:pt>
                <c:pt idx="7">
                  <c:v>6360.4160746720036</c:v>
                </c:pt>
                <c:pt idx="8">
                  <c:v>7243.3719978136041</c:v>
                </c:pt>
                <c:pt idx="9">
                  <c:v>8248.1149448368124</c:v>
                </c:pt>
                <c:pt idx="10">
                  <c:v>9390.1727612865125</c:v>
                </c:pt>
                <c:pt idx="11">
                  <c:v>10686.960991577791</c:v>
                </c:pt>
                <c:pt idx="12">
                  <c:v>12158.005140314455</c:v>
                </c:pt>
                <c:pt idx="13">
                  <c:v>13825.188508882693</c:v>
                </c:pt>
                <c:pt idx="14">
                  <c:v>15713.028499761418</c:v>
                </c:pt>
                <c:pt idx="15">
                  <c:v>17848.984603727044</c:v>
                </c:pt>
                <c:pt idx="16">
                  <c:v>20263.801643488219</c:v>
                </c:pt>
                <c:pt idx="17">
                  <c:v>22991.892245164319</c:v>
                </c:pt>
                <c:pt idx="18">
                  <c:v>26071.762950740856</c:v>
                </c:pt>
                <c:pt idx="19">
                  <c:v>29546.488874980882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A-4867-A7EE-452E913DE2F1}"/>
            </c:ext>
          </c:extLst>
        </c:ser>
        <c:ser>
          <c:idx val="1"/>
          <c:order val="1"/>
          <c:tx>
            <c:strRef>
              <c:f>Sheet1!$C$1:$C$2</c:f>
              <c:strCache>
                <c:ptCount val="2"/>
                <c:pt idx="0">
                  <c:v>Tomato Marginal-Cost Schedule</c:v>
                </c:pt>
                <c:pt idx="1">
                  <c:v>Price (P)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Sheet1!$A$3:$A$22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Sheet1!$C$3:$C$22</c:f>
              <c:numCache>
                <c:formatCode>General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A-4867-A7EE-452E913DE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4501712"/>
        <c:axId val="1954500752"/>
      </c:lineChart>
      <c:catAx>
        <c:axId val="19545017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54500752"/>
        <c:crosses val="autoZero"/>
        <c:auto val="1"/>
        <c:lblAlgn val="ctr"/>
        <c:lblOffset val="100"/>
        <c:noMultiLvlLbl val="0"/>
      </c:catAx>
      <c:valAx>
        <c:axId val="1954500752"/>
        <c:scaling>
          <c:orientation val="minMax"/>
          <c:max val="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]#,##0_);[Red]\([$$]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5450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ja-JP" b="1"/>
              <a:t>Carrots: Marginal Cost (MC) vs. Price (P)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Sheet1!$B$25:$B$26</c:f>
              <c:strCache>
                <c:ptCount val="2"/>
                <c:pt idx="0">
                  <c:v>Carrot Marginal-Cost Schedule</c:v>
                </c:pt>
                <c:pt idx="1">
                  <c:v>Total MC (MC)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Sheet1!$A$27:$A$46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Sheet1!$B$27:$B$46</c:f>
              <c:numCache>
                <c:formatCode>General</c:formatCode>
                <c:ptCount val="20"/>
                <c:pt idx="0">
                  <c:v>1507.2129439999999</c:v>
                </c:pt>
                <c:pt idx="1">
                  <c:v>1560.5735911999998</c:v>
                </c:pt>
                <c:pt idx="2">
                  <c:v>1615.9352626699995</c:v>
                </c:pt>
                <c:pt idx="3">
                  <c:v>1673.364659219</c:v>
                </c:pt>
                <c:pt idx="4">
                  <c:v>1732.9305660562802</c:v>
                </c:pt>
                <c:pt idx="5">
                  <c:v>1794.7039153234123</c:v>
                </c:pt>
                <c:pt idx="6">
                  <c:v>1858.7578504501203</c:v>
                </c:pt>
                <c:pt idx="7">
                  <c:v>1925.1677923860811</c:v>
                </c:pt>
                <c:pt idx="8">
                  <c:v>1994.0115077623109</c:v>
                </c:pt>
                <c:pt idx="9">
                  <c:v>2065.3691790371117</c:v>
                </c:pt>
                <c:pt idx="10">
                  <c:v>2139.3234766832988</c:v>
                </c:pt>
                <c:pt idx="11">
                  <c:v>2215.9596334748962</c:v>
                </c:pt>
                <c:pt idx="12">
                  <c:v>2295.3655209331537</c:v>
                </c:pt>
                <c:pt idx="13">
                  <c:v>2377.6317279933955</c:v>
                </c:pt>
                <c:pt idx="14">
                  <c:v>2462.8516419560688</c:v>
                </c:pt>
                <c:pt idx="15">
                  <c:v>2551.1215317868773</c:v>
                </c:pt>
                <c:pt idx="16">
                  <c:v>1675.3299164504992</c:v>
                </c:pt>
                <c:pt idx="17">
                  <c:v>1588.6056200120372</c:v>
                </c:pt>
                <c:pt idx="18">
                  <c:v>1637.6193943142762</c:v>
                </c:pt>
                <c:pt idx="19">
                  <c:v>1688.3659788191148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71-49AA-9D59-A08C698D2D0F}"/>
            </c:ext>
          </c:extLst>
        </c:ser>
        <c:ser>
          <c:idx val="1"/>
          <c:order val="1"/>
          <c:tx>
            <c:strRef>
              <c:f>Sheet1!$C$25:$C$26</c:f>
              <c:strCache>
                <c:ptCount val="2"/>
                <c:pt idx="0">
                  <c:v>Carrot Marginal-Cost Schedule</c:v>
                </c:pt>
                <c:pt idx="1">
                  <c:v>Price (P)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Sheet1!$A$27:$A$46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Sheet1!$C$27:$C$46</c:f>
              <c:numCache>
                <c:formatCode>General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71-49AA-9D59-A08C698D2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7298432"/>
        <c:axId val="1957299392"/>
      </c:lineChart>
      <c:catAx>
        <c:axId val="195729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57299392"/>
        <c:crosses val="autoZero"/>
        <c:auto val="1"/>
        <c:lblAlgn val="ctr"/>
        <c:lblOffset val="100"/>
        <c:noMultiLvlLbl val="0"/>
      </c:catAx>
      <c:valAx>
        <c:axId val="195729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]#,##0_);[Red]\([$$]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5729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Mesclun</a:t>
            </a:r>
            <a:r>
              <a:rPr lang="ja-JP" altLang="ja-JP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: Marginal Cost (MC) vs. Price (P)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Sheet1!$B$49:$B$50</c:f>
              <c:strCache>
                <c:ptCount val="2"/>
                <c:pt idx="0">
                  <c:v>Mesclun Marginal-Cost Schedule</c:v>
                </c:pt>
                <c:pt idx="1">
                  <c:v>Total MC (MC)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Sheet1!$A$51:$A$80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Sheet1!$B$51:$B$80</c:f>
              <c:numCache>
                <c:formatCode>General</c:formatCode>
                <c:ptCount val="30"/>
                <c:pt idx="0">
                  <c:v>2461.9299999999998</c:v>
                </c:pt>
                <c:pt idx="1">
                  <c:v>2501.4782499999997</c:v>
                </c:pt>
                <c:pt idx="2">
                  <c:v>2541.7680296874996</c:v>
                </c:pt>
                <c:pt idx="3">
                  <c:v>2582.8116978906255</c:v>
                </c:pt>
                <c:pt idx="4">
                  <c:v>2624.6218065441876</c:v>
                </c:pt>
                <c:pt idx="5">
                  <c:v>2667.211103586299</c:v>
                </c:pt>
                <c:pt idx="6">
                  <c:v>2710.5925358971826</c:v>
                </c:pt>
                <c:pt idx="7">
                  <c:v>2754.7792522809127</c:v>
                </c:pt>
                <c:pt idx="8">
                  <c:v>2799.7846064904952</c:v>
                </c:pt>
                <c:pt idx="9">
                  <c:v>2845.6221602971514</c:v>
                </c:pt>
                <c:pt idx="10">
                  <c:v>2892.3056866042025</c:v>
                </c:pt>
                <c:pt idx="11">
                  <c:v>2939.849172606398</c:v>
                </c:pt>
                <c:pt idx="12">
                  <c:v>2988.2668229951</c:v>
                </c:pt>
                <c:pt idx="13">
                  <c:v>2522.475969165132</c:v>
                </c:pt>
                <c:pt idx="14">
                  <c:v>1983.8912713699012</c:v>
                </c:pt>
                <c:pt idx="15">
                  <c:v>2009.4550692332098</c:v>
                </c:pt>
                <c:pt idx="16">
                  <c:v>2035.4854790319407</c:v>
                </c:pt>
                <c:pt idx="17">
                  <c:v>2061.9901717210769</c:v>
                </c:pt>
                <c:pt idx="18">
                  <c:v>2088.9769371213365</c:v>
                </c:pt>
                <c:pt idx="19">
                  <c:v>2116.4536856922823</c:v>
                </c:pt>
                <c:pt idx="20">
                  <c:v>2144.4284503310628</c:v>
                </c:pt>
                <c:pt idx="21">
                  <c:v>2172.9093881974386</c:v>
                </c:pt>
                <c:pt idx="22">
                  <c:v>2201.9047825650964</c:v>
                </c:pt>
                <c:pt idx="23">
                  <c:v>2231.4230447000491</c:v>
                </c:pt>
                <c:pt idx="24">
                  <c:v>2261.4727157660932</c:v>
                </c:pt>
                <c:pt idx="25">
                  <c:v>2292.062468758063</c:v>
                </c:pt>
                <c:pt idx="26">
                  <c:v>2323.2011104629732</c:v>
                </c:pt>
                <c:pt idx="27">
                  <c:v>2354.8975834497887</c:v>
                </c:pt>
                <c:pt idx="28">
                  <c:v>2387.1609680877455</c:v>
                </c:pt>
                <c:pt idx="29">
                  <c:v>2420.0004845942585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CF-4F7C-B387-2AA3DAF5F94F}"/>
            </c:ext>
          </c:extLst>
        </c:ser>
        <c:ser>
          <c:idx val="1"/>
          <c:order val="1"/>
          <c:tx>
            <c:strRef>
              <c:f>Sheet1!$C$49:$C$50</c:f>
              <c:strCache>
                <c:ptCount val="2"/>
                <c:pt idx="0">
                  <c:v>Mesclun Marginal-Cost Schedule</c:v>
                </c:pt>
                <c:pt idx="1">
                  <c:v>Price (P)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Sheet1!$A$51:$A$80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Sheet1!$C$51:$C$80</c:f>
              <c:numCache>
                <c:formatCode>General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F-4F7C-B387-2AA3DAF5F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9775488"/>
        <c:axId val="2069776448"/>
      </c:lineChart>
      <c:catAx>
        <c:axId val="206977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69776448"/>
        <c:crosses val="autoZero"/>
        <c:auto val="1"/>
        <c:lblAlgn val="ctr"/>
        <c:lblOffset val="100"/>
        <c:noMultiLvlLbl val="0"/>
      </c:catAx>
      <c:valAx>
        <c:axId val="206977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]#,##0_);[Red]\([$$]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6977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106680</xdr:colOff>
      <xdr:row>3</xdr:row>
      <xdr:rowOff>114300</xdr:rowOff>
    </xdr:from>
    <xdr:to>
      <xdr:col>14</xdr:col>
      <xdr:colOff>411480</xdr:colOff>
      <xdr:row>20</xdr:row>
      <xdr:rowOff>7620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6F942F2-9977-2B5E-3496-C9E247C03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396240</xdr:colOff>
      <xdr:row>24</xdr:row>
      <xdr:rowOff>114300</xdr:rowOff>
    </xdr:from>
    <xdr:to>
      <xdr:col>13</xdr:col>
      <xdr:colOff>91440</xdr:colOff>
      <xdr:row>41</xdr:row>
      <xdr:rowOff>7620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11B6968-E154-ED0E-8055-FC13A78CB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533400</xdr:colOff>
      <xdr:row>47</xdr:row>
      <xdr:rowOff>114300</xdr:rowOff>
    </xdr:from>
    <xdr:to>
      <xdr:col>15</xdr:col>
      <xdr:colOff>228600</xdr:colOff>
      <xdr:row>64</xdr:row>
      <xdr:rowOff>7620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6BED151-E9AD-D790-A8D7-F07FA69E9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1"/>
  <sheetViews>
    <sheetView tabSelected="1" topLeftCell="A27" workbookViewId="0">
      <selection activeCell="C35" sqref="C35"/>
    </sheetView>
  </sheetViews>
  <sheetFormatPr defaultRowHeight="13.2" x14ac:dyDescent="0.2"/>
  <cols>
    <col min="1" max="1" width="30" customWidth="1"/>
    <col min="2" max="2" width="25" customWidth="1"/>
    <col min="3" max="4" width="18" customWidth="1"/>
    <col min="5" max="5" width="45" customWidth="1"/>
    <col min="6" max="6" width="22" customWidth="1"/>
    <col min="7" max="7" width="12" customWidth="1"/>
  </cols>
  <sheetData>
    <row r="1" spans="1:7" ht="21" x14ac:dyDescent="0.4">
      <c r="A1" s="54" t="s">
        <v>0</v>
      </c>
      <c r="B1" s="55"/>
      <c r="C1" s="55"/>
      <c r="D1" s="55"/>
      <c r="E1" s="55"/>
      <c r="F1" s="55"/>
      <c r="G1" s="55"/>
    </row>
    <row r="2" spans="1:7" ht="14.4" x14ac:dyDescent="0.3">
      <c r="A2" s="58" t="s">
        <v>1</v>
      </c>
      <c r="B2" s="55"/>
      <c r="C2" s="55"/>
      <c r="D2" s="55"/>
      <c r="E2" s="55"/>
      <c r="F2" s="55"/>
      <c r="G2" s="55"/>
    </row>
    <row r="4" spans="1:7" ht="15.6" x14ac:dyDescent="0.2">
      <c r="A4" s="57" t="s">
        <v>2</v>
      </c>
      <c r="B4" s="55"/>
      <c r="C4" s="55"/>
      <c r="D4" s="55"/>
      <c r="E4" s="55"/>
      <c r="F4" s="55"/>
      <c r="G4" s="55"/>
    </row>
    <row r="5" spans="1:7" ht="14.4" x14ac:dyDescent="0.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</row>
    <row r="6" spans="1:7" ht="14.4" x14ac:dyDescent="0.2">
      <c r="A6" s="2" t="s">
        <v>8</v>
      </c>
      <c r="B6" s="3" t="s">
        <v>9</v>
      </c>
      <c r="C6" s="4">
        <v>8800</v>
      </c>
      <c r="D6" s="2" t="s">
        <v>10</v>
      </c>
      <c r="E6" s="2" t="s">
        <v>11</v>
      </c>
    </row>
    <row r="7" spans="1:7" ht="14.4" x14ac:dyDescent="0.2">
      <c r="A7" s="5" t="s">
        <v>8</v>
      </c>
      <c r="B7" s="6" t="s">
        <v>12</v>
      </c>
      <c r="C7" s="4">
        <v>880</v>
      </c>
      <c r="D7" s="5" t="s">
        <v>10</v>
      </c>
      <c r="E7" s="5" t="s">
        <v>13</v>
      </c>
    </row>
    <row r="8" spans="1:7" ht="14.4" x14ac:dyDescent="0.2">
      <c r="A8" s="2" t="s">
        <v>8</v>
      </c>
      <c r="B8" s="3" t="s">
        <v>14</v>
      </c>
      <c r="C8" s="7">
        <v>2.5</v>
      </c>
      <c r="D8" s="2" t="s">
        <v>15</v>
      </c>
      <c r="E8" s="2" t="s">
        <v>16</v>
      </c>
    </row>
    <row r="9" spans="1:7" ht="14.4" x14ac:dyDescent="0.2">
      <c r="A9" s="5" t="s">
        <v>8</v>
      </c>
      <c r="B9" s="6" t="s">
        <v>17</v>
      </c>
      <c r="C9" s="8">
        <v>0.1</v>
      </c>
      <c r="D9" s="5" t="s">
        <v>18</v>
      </c>
      <c r="E9" s="5" t="s">
        <v>19</v>
      </c>
    </row>
    <row r="10" spans="1:7" ht="14.4" x14ac:dyDescent="0.2">
      <c r="A10" s="2" t="s">
        <v>8</v>
      </c>
      <c r="B10" s="3" t="s">
        <v>20</v>
      </c>
      <c r="C10" s="9">
        <v>20</v>
      </c>
      <c r="D10" s="2" t="s">
        <v>21</v>
      </c>
      <c r="E10" s="2" t="s">
        <v>22</v>
      </c>
    </row>
    <row r="11" spans="1:7" ht="14.4" x14ac:dyDescent="0.2">
      <c r="A11" s="5" t="s">
        <v>23</v>
      </c>
      <c r="B11" s="6" t="s">
        <v>24</v>
      </c>
      <c r="C11" s="4">
        <v>2094</v>
      </c>
      <c r="D11" s="5" t="s">
        <v>10</v>
      </c>
      <c r="E11" s="5" t="s">
        <v>25</v>
      </c>
    </row>
    <row r="12" spans="1:7" ht="14.4" x14ac:dyDescent="0.2">
      <c r="A12" s="2" t="s">
        <v>23</v>
      </c>
      <c r="B12" s="3" t="s">
        <v>26</v>
      </c>
      <c r="C12" s="4">
        <v>440</v>
      </c>
      <c r="D12" s="2" t="s">
        <v>10</v>
      </c>
      <c r="E12" s="2" t="s">
        <v>27</v>
      </c>
    </row>
    <row r="13" spans="1:7" ht="14.4" x14ac:dyDescent="0.2">
      <c r="A13" s="5" t="s">
        <v>23</v>
      </c>
      <c r="B13" s="6" t="s">
        <v>28</v>
      </c>
      <c r="C13" s="7">
        <v>0.83299999999999996</v>
      </c>
      <c r="D13" s="5" t="s">
        <v>15</v>
      </c>
      <c r="E13" s="5" t="s">
        <v>16</v>
      </c>
    </row>
    <row r="14" spans="1:7" ht="14.4" x14ac:dyDescent="0.2">
      <c r="A14" s="2" t="s">
        <v>23</v>
      </c>
      <c r="B14" s="3" t="s">
        <v>29</v>
      </c>
      <c r="C14" s="10">
        <v>2.5000000000000001E-2</v>
      </c>
      <c r="D14" s="2" t="s">
        <v>18</v>
      </c>
      <c r="E14" s="2" t="s">
        <v>19</v>
      </c>
    </row>
    <row r="15" spans="1:7" ht="14.4" x14ac:dyDescent="0.2">
      <c r="A15" s="5" t="s">
        <v>23</v>
      </c>
      <c r="B15" s="6" t="s">
        <v>30</v>
      </c>
      <c r="C15" s="9">
        <v>20</v>
      </c>
      <c r="D15" s="5" t="s">
        <v>21</v>
      </c>
      <c r="E15" s="5" t="s">
        <v>31</v>
      </c>
    </row>
    <row r="16" spans="1:7" ht="14.4" x14ac:dyDescent="0.2">
      <c r="A16" s="2" t="s">
        <v>32</v>
      </c>
      <c r="B16" s="3" t="s">
        <v>33</v>
      </c>
      <c r="C16" s="4">
        <v>2700</v>
      </c>
      <c r="D16" s="2" t="s">
        <v>10</v>
      </c>
      <c r="E16" s="2" t="s">
        <v>34</v>
      </c>
    </row>
    <row r="17" spans="1:7" ht="14.4" x14ac:dyDescent="0.2">
      <c r="A17" s="5" t="s">
        <v>32</v>
      </c>
      <c r="B17" s="6" t="s">
        <v>35</v>
      </c>
      <c r="C17" s="4">
        <v>880</v>
      </c>
      <c r="D17" s="5" t="s">
        <v>10</v>
      </c>
      <c r="E17" s="5" t="s">
        <v>36</v>
      </c>
    </row>
    <row r="18" spans="1:7" ht="14.4" x14ac:dyDescent="0.2">
      <c r="A18" s="2" t="s">
        <v>32</v>
      </c>
      <c r="B18" s="3" t="s">
        <v>37</v>
      </c>
      <c r="C18" s="7">
        <v>1.25</v>
      </c>
      <c r="D18" s="2" t="s">
        <v>15</v>
      </c>
      <c r="E18" s="2" t="s">
        <v>16</v>
      </c>
    </row>
    <row r="19" spans="1:7" ht="14.4" x14ac:dyDescent="0.2">
      <c r="A19" s="5" t="s">
        <v>32</v>
      </c>
      <c r="B19" s="6" t="s">
        <v>38</v>
      </c>
      <c r="C19" s="11">
        <v>1.2500000000000001E-2</v>
      </c>
      <c r="D19" s="5" t="s">
        <v>18</v>
      </c>
      <c r="E19" s="5" t="s">
        <v>19</v>
      </c>
    </row>
    <row r="20" spans="1:7" ht="14.4" x14ac:dyDescent="0.2">
      <c r="A20" s="2" t="s">
        <v>32</v>
      </c>
      <c r="B20" s="3" t="s">
        <v>39</v>
      </c>
      <c r="C20" s="9">
        <v>30</v>
      </c>
      <c r="D20" s="2" t="s">
        <v>21</v>
      </c>
      <c r="E20" s="2" t="s">
        <v>40</v>
      </c>
    </row>
    <row r="21" spans="1:7" ht="14.4" x14ac:dyDescent="0.2">
      <c r="A21" s="5" t="s">
        <v>41</v>
      </c>
      <c r="B21" s="6" t="s">
        <v>42</v>
      </c>
      <c r="C21" s="9">
        <v>36</v>
      </c>
      <c r="D21" s="5" t="s">
        <v>43</v>
      </c>
      <c r="E21" s="5" t="s">
        <v>44</v>
      </c>
    </row>
    <row r="22" spans="1:7" ht="14.4" x14ac:dyDescent="0.2">
      <c r="A22" s="2" t="s">
        <v>41</v>
      </c>
      <c r="B22" s="3" t="s">
        <v>45</v>
      </c>
      <c r="C22" s="9">
        <v>64</v>
      </c>
      <c r="D22" s="2" t="s">
        <v>21</v>
      </c>
      <c r="E22" s="2" t="s">
        <v>46</v>
      </c>
    </row>
    <row r="23" spans="1:7" ht="14.4" x14ac:dyDescent="0.2">
      <c r="A23" s="5" t="s">
        <v>47</v>
      </c>
      <c r="B23" s="6" t="s">
        <v>48</v>
      </c>
      <c r="C23" s="12">
        <v>720</v>
      </c>
      <c r="D23" s="5" t="s">
        <v>49</v>
      </c>
      <c r="E23" s="5" t="s">
        <v>50</v>
      </c>
    </row>
    <row r="24" spans="1:7" ht="14.4" x14ac:dyDescent="0.2">
      <c r="A24" s="2" t="s">
        <v>51</v>
      </c>
      <c r="B24" s="3" t="s">
        <v>52</v>
      </c>
      <c r="C24" s="13">
        <v>34.72</v>
      </c>
      <c r="D24" s="2" t="s">
        <v>53</v>
      </c>
      <c r="E24" s="2" t="s">
        <v>54</v>
      </c>
    </row>
    <row r="25" spans="1:7" ht="14.4" x14ac:dyDescent="0.2">
      <c r="A25" s="5" t="s">
        <v>47</v>
      </c>
      <c r="B25" s="6" t="s">
        <v>55</v>
      </c>
      <c r="C25" s="12">
        <v>5760</v>
      </c>
      <c r="D25" s="5" t="s">
        <v>49</v>
      </c>
      <c r="E25" s="5" t="s">
        <v>56</v>
      </c>
    </row>
    <row r="26" spans="1:7" ht="14.4" x14ac:dyDescent="0.2">
      <c r="A26" s="2" t="s">
        <v>51</v>
      </c>
      <c r="B26" s="3" t="s">
        <v>57</v>
      </c>
      <c r="C26" s="13">
        <v>17.36</v>
      </c>
      <c r="D26" s="2" t="s">
        <v>53</v>
      </c>
      <c r="E26" s="2" t="s">
        <v>58</v>
      </c>
    </row>
    <row r="27" spans="1:7" ht="14.4" x14ac:dyDescent="0.2">
      <c r="A27" s="5" t="s">
        <v>47</v>
      </c>
      <c r="B27" s="6" t="s">
        <v>59</v>
      </c>
      <c r="C27" s="12">
        <v>6480</v>
      </c>
      <c r="D27" s="5" t="s">
        <v>49</v>
      </c>
      <c r="E27" s="5" t="s">
        <v>60</v>
      </c>
    </row>
    <row r="28" spans="1:7" ht="14.4" x14ac:dyDescent="0.2">
      <c r="A28" s="2" t="s">
        <v>61</v>
      </c>
      <c r="B28" s="3" t="s">
        <v>62</v>
      </c>
      <c r="C28" s="4">
        <v>20000</v>
      </c>
      <c r="D28" s="2" t="s">
        <v>63</v>
      </c>
      <c r="E28" s="2" t="s">
        <v>64</v>
      </c>
    </row>
    <row r="30" spans="1:7" ht="15.6" x14ac:dyDescent="0.3">
      <c r="A30" s="56" t="s">
        <v>65</v>
      </c>
      <c r="B30" s="55"/>
      <c r="C30" s="55"/>
      <c r="D30" s="55"/>
      <c r="E30" s="55"/>
      <c r="F30" s="55"/>
      <c r="G30" s="55"/>
    </row>
    <row r="31" spans="1:7" ht="14.4" x14ac:dyDescent="0.2">
      <c r="A31" s="1" t="s">
        <v>66</v>
      </c>
      <c r="B31" s="1" t="s">
        <v>4</v>
      </c>
      <c r="C31" s="1" t="s">
        <v>67</v>
      </c>
      <c r="D31" s="1" t="s">
        <v>68</v>
      </c>
      <c r="E31" s="1" t="s">
        <v>69</v>
      </c>
      <c r="F31" s="1" t="s">
        <v>70</v>
      </c>
    </row>
    <row r="32" spans="1:7" ht="14.4" x14ac:dyDescent="0.2">
      <c r="A32" s="2" t="s">
        <v>8</v>
      </c>
      <c r="B32" s="3" t="s">
        <v>71</v>
      </c>
      <c r="C32" s="14">
        <v>10</v>
      </c>
      <c r="D32" s="15">
        <f>TOM_MAX_BEDS</f>
        <v>20</v>
      </c>
      <c r="E32" s="16">
        <f>C32/D32</f>
        <v>0.5</v>
      </c>
      <c r="F32" s="17" t="str">
        <f>IF(C32&lt;=D32,"OK (Within Limit)","EXCEEDED CAP")</f>
        <v>OK (Within Limit)</v>
      </c>
    </row>
    <row r="33" spans="1:7" ht="14.4" x14ac:dyDescent="0.2">
      <c r="A33" s="2" t="s">
        <v>23</v>
      </c>
      <c r="B33" s="3" t="s">
        <v>72</v>
      </c>
      <c r="C33" s="14">
        <v>20</v>
      </c>
      <c r="D33" s="15">
        <f>CAR_MAX_BEDS</f>
        <v>20</v>
      </c>
      <c r="E33" s="16">
        <f>C33/D33</f>
        <v>1</v>
      </c>
      <c r="F33" s="17" t="str">
        <f>IF(C33&lt;=D33,"OK (Within Limit)","EXCEEDED CAP")</f>
        <v>OK (Within Limit)</v>
      </c>
    </row>
    <row r="34" spans="1:7" ht="14.4" x14ac:dyDescent="0.2">
      <c r="A34" s="2" t="s">
        <v>189</v>
      </c>
      <c r="B34" s="3" t="s">
        <v>73</v>
      </c>
      <c r="C34" s="14">
        <v>30</v>
      </c>
      <c r="D34" s="15">
        <v>30</v>
      </c>
      <c r="E34" s="16">
        <f>C34/D34</f>
        <v>1</v>
      </c>
      <c r="F34" s="17" t="str">
        <f>IF(C34&lt;=D34,"OK (Within Limit)","EXCEEDED CAP")</f>
        <v>OK (Within Limit)</v>
      </c>
    </row>
    <row r="35" spans="1:7" ht="14.4" x14ac:dyDescent="0.3">
      <c r="A35" s="18" t="s">
        <v>74</v>
      </c>
      <c r="B35" s="18" t="s">
        <v>75</v>
      </c>
      <c r="C35" s="19">
        <f>SUM(C32:C34)</f>
        <v>60</v>
      </c>
      <c r="D35" s="20">
        <f>FARM_MAX_BEDS</f>
        <v>64</v>
      </c>
      <c r="E35" s="21">
        <f>C35/D35</f>
        <v>0.9375</v>
      </c>
      <c r="F35" s="22" t="str">
        <f>IF(C35&lt;=D35,"OK (Within Land Cap)","LAND OVER CAPACITY")</f>
        <v>OK (Within Land Cap)</v>
      </c>
    </row>
    <row r="37" spans="1:7" ht="15.6" x14ac:dyDescent="0.3">
      <c r="A37" s="56" t="s">
        <v>76</v>
      </c>
      <c r="B37" s="55"/>
      <c r="C37" s="55"/>
      <c r="D37" s="55"/>
      <c r="E37" s="55"/>
      <c r="F37" s="55"/>
      <c r="G37" s="55"/>
    </row>
    <row r="38" spans="1:7" ht="14.4" x14ac:dyDescent="0.2">
      <c r="A38" s="1" t="s">
        <v>77</v>
      </c>
      <c r="B38" s="1" t="s">
        <v>78</v>
      </c>
      <c r="C38" s="1" t="s">
        <v>79</v>
      </c>
      <c r="D38" s="1" t="s">
        <v>6</v>
      </c>
      <c r="E38" s="1" t="s">
        <v>80</v>
      </c>
    </row>
    <row r="39" spans="1:7" ht="14.4" x14ac:dyDescent="0.2">
      <c r="A39" s="2" t="s">
        <v>81</v>
      </c>
      <c r="B39" s="23" t="s">
        <v>82</v>
      </c>
      <c r="C39" s="24">
        <f>BEDS_TOMATO*TOM_BASE_HRS*WEEKS*(1+TOM_DIM_PCT)^BEDS_TOMATO</f>
        <v>2334.3682140900019</v>
      </c>
      <c r="D39" s="2" t="s">
        <v>49</v>
      </c>
      <c r="E39" s="2" t="s">
        <v>83</v>
      </c>
    </row>
    <row r="40" spans="1:7" ht="14.4" x14ac:dyDescent="0.2">
      <c r="A40" s="2" t="s">
        <v>84</v>
      </c>
      <c r="B40" s="23" t="s">
        <v>85</v>
      </c>
      <c r="C40" s="24">
        <f>BEDS_CARROT*CAR_BASE_HRS*WEEKS*(1+CAR_DIM_PCT)^BEDS_CARROT</f>
        <v>982.77659622856766</v>
      </c>
      <c r="D40" s="2" t="s">
        <v>49</v>
      </c>
      <c r="E40" s="2" t="s">
        <v>86</v>
      </c>
    </row>
    <row r="41" spans="1:7" ht="14.4" x14ac:dyDescent="0.2">
      <c r="A41" s="2" t="s">
        <v>87</v>
      </c>
      <c r="B41" s="23" t="s">
        <v>88</v>
      </c>
      <c r="C41" s="24">
        <f>BEDS_MESCLUN*MES_BASE_HRS*WEEKS*(1+MES_DIM_PCT)^BEDS_MESCLUN</f>
        <v>1959.6780360096488</v>
      </c>
      <c r="D41" s="2" t="s">
        <v>49</v>
      </c>
      <c r="E41" s="2" t="s">
        <v>89</v>
      </c>
    </row>
    <row r="42" spans="1:7" ht="14.4" x14ac:dyDescent="0.2">
      <c r="A42" s="3" t="s">
        <v>90</v>
      </c>
      <c r="B42" s="3" t="s">
        <v>91</v>
      </c>
      <c r="C42" s="25">
        <f>LABOR_HRS_TOMATO+LABOR_HRS_CARROT+LABOR_HRS_MESCLUN</f>
        <v>5276.8228463282185</v>
      </c>
      <c r="D42" s="2" t="s">
        <v>49</v>
      </c>
      <c r="E42" s="2" t="s">
        <v>92</v>
      </c>
    </row>
    <row r="43" spans="1:7" ht="14.4" x14ac:dyDescent="0.2">
      <c r="A43" s="2" t="s">
        <v>93</v>
      </c>
      <c r="B43" s="23" t="s">
        <v>94</v>
      </c>
      <c r="C43" s="26">
        <f>MIN(TOTAL_LABOR_HRS, OWNER_HRS_CAP)</f>
        <v>720</v>
      </c>
      <c r="D43" s="2" t="s">
        <v>49</v>
      </c>
      <c r="E43" s="2" t="s">
        <v>95</v>
      </c>
    </row>
    <row r="44" spans="1:7" ht="14.4" x14ac:dyDescent="0.2">
      <c r="A44" s="2" t="s">
        <v>96</v>
      </c>
      <c r="B44" s="23" t="s">
        <v>97</v>
      </c>
      <c r="C44" s="26">
        <f>MAX(0, TOTAL_LABOR_HRS-OWNER_HRS_CAP)</f>
        <v>4556.8228463282185</v>
      </c>
      <c r="D44" s="2" t="s">
        <v>49</v>
      </c>
      <c r="E44" s="2" t="s">
        <v>98</v>
      </c>
    </row>
    <row r="45" spans="1:7" ht="14.4" x14ac:dyDescent="0.2">
      <c r="A45" s="2" t="s">
        <v>99</v>
      </c>
      <c r="B45" s="23" t="s">
        <v>100</v>
      </c>
      <c r="C45" s="27">
        <f>OWNER_HRS_USED*OWNER_RATE</f>
        <v>24998.399999999998</v>
      </c>
      <c r="D45" s="2" t="s">
        <v>101</v>
      </c>
      <c r="E45" s="2" t="s">
        <v>102</v>
      </c>
    </row>
    <row r="46" spans="1:7" ht="14.4" x14ac:dyDescent="0.2">
      <c r="A46" s="2" t="s">
        <v>103</v>
      </c>
      <c r="B46" s="23" t="s">
        <v>104</v>
      </c>
      <c r="C46" s="27">
        <f>TEMP_HRS_USED*TEMP_RATE</f>
        <v>79106.444612257867</v>
      </c>
      <c r="D46" s="2" t="s">
        <v>101</v>
      </c>
      <c r="E46" s="2" t="s">
        <v>105</v>
      </c>
    </row>
    <row r="47" spans="1:7" ht="14.4" x14ac:dyDescent="0.2">
      <c r="A47" s="28" t="s">
        <v>106</v>
      </c>
      <c r="B47" s="28" t="s">
        <v>107</v>
      </c>
      <c r="C47" s="29">
        <f>OWNER_LABOR_COST+TEMP_LABOR_COST</f>
        <v>104104.84461225786</v>
      </c>
      <c r="D47" s="30" t="s">
        <v>101</v>
      </c>
      <c r="E47" s="30" t="s">
        <v>108</v>
      </c>
    </row>
    <row r="48" spans="1:7" ht="14.4" x14ac:dyDescent="0.2">
      <c r="A48" s="2" t="s">
        <v>109</v>
      </c>
      <c r="B48" s="23" t="s">
        <v>110</v>
      </c>
      <c r="C48" s="31">
        <f>TOTAL_LABOR_COST/TOTAL_LABOR_HRS</f>
        <v>19.728698052597565</v>
      </c>
      <c r="D48" s="2" t="s">
        <v>53</v>
      </c>
      <c r="E48" s="2" t="s">
        <v>111</v>
      </c>
    </row>
    <row r="49" spans="1:7" ht="14.4" x14ac:dyDescent="0.2">
      <c r="A49" s="28" t="s">
        <v>112</v>
      </c>
      <c r="B49" s="28" t="s">
        <v>113</v>
      </c>
      <c r="C49" s="29">
        <f>(BEDS_TOMATO*TOM_PRICE)+(BEDS_CARROT*CAR_PRICE)+(BEDS_MESCLUN*MES_PRICE)</f>
        <v>210880</v>
      </c>
      <c r="D49" s="30" t="s">
        <v>101</v>
      </c>
      <c r="E49" s="30" t="s">
        <v>114</v>
      </c>
    </row>
    <row r="50" spans="1:7" ht="14.4" x14ac:dyDescent="0.2">
      <c r="A50" s="2" t="s">
        <v>115</v>
      </c>
      <c r="B50" s="23" t="s">
        <v>116</v>
      </c>
      <c r="C50" s="27">
        <f>(BEDS_TOMATO*TOM_FERT)+(BEDS_CARROT*CAR_FERT)+(BEDS_MESCLUN*MES_FERT)</f>
        <v>44000</v>
      </c>
      <c r="D50" s="2" t="s">
        <v>101</v>
      </c>
      <c r="E50" s="2" t="s">
        <v>117</v>
      </c>
    </row>
    <row r="51" spans="1:7" ht="14.4" x14ac:dyDescent="0.2">
      <c r="A51" s="2" t="s">
        <v>118</v>
      </c>
      <c r="B51" s="23" t="s">
        <v>119</v>
      </c>
      <c r="C51" s="27">
        <f>FIXED_OVERHEAD</f>
        <v>20000</v>
      </c>
      <c r="D51" s="2" t="s">
        <v>101</v>
      </c>
      <c r="E51" s="2" t="s">
        <v>120</v>
      </c>
    </row>
    <row r="52" spans="1:7" ht="14.4" x14ac:dyDescent="0.2">
      <c r="A52" s="28" t="s">
        <v>121</v>
      </c>
      <c r="B52" s="28" t="s">
        <v>122</v>
      </c>
      <c r="C52" s="29">
        <f>TOTAL_REVENUE-TOTAL_FERTILIZER-TOTAL_LABOR_COST-FIXED_OVERHEAD</f>
        <v>42775.155387742139</v>
      </c>
      <c r="D52" s="30" t="s">
        <v>101</v>
      </c>
      <c r="E52" s="30" t="s">
        <v>123</v>
      </c>
    </row>
    <row r="55" spans="1:7" ht="15.6" x14ac:dyDescent="0.3">
      <c r="A55" s="56" t="s">
        <v>124</v>
      </c>
      <c r="B55" s="55"/>
      <c r="C55" s="55"/>
      <c r="D55" s="55"/>
      <c r="E55" s="55"/>
      <c r="F55" s="55"/>
      <c r="G55" s="55"/>
    </row>
    <row r="56" spans="1:7" ht="14.4" x14ac:dyDescent="0.2">
      <c r="A56" s="1" t="s">
        <v>125</v>
      </c>
      <c r="B56" s="1" t="s">
        <v>126</v>
      </c>
      <c r="C56" s="1" t="s">
        <v>127</v>
      </c>
      <c r="D56" s="1" t="s">
        <v>128</v>
      </c>
      <c r="E56" s="1" t="s">
        <v>129</v>
      </c>
      <c r="F56" s="1" t="s">
        <v>130</v>
      </c>
    </row>
    <row r="57" spans="1:7" ht="14.4" x14ac:dyDescent="0.2">
      <c r="A57" s="2" t="s">
        <v>131</v>
      </c>
      <c r="B57" s="32">
        <f>BEDS_TOMATO</f>
        <v>10</v>
      </c>
      <c r="C57" s="17" t="s">
        <v>132</v>
      </c>
      <c r="D57" s="32">
        <f>TOM_MAX_BEDS</f>
        <v>20</v>
      </c>
      <c r="E57" s="15">
        <f>D57-B57</f>
        <v>10</v>
      </c>
      <c r="F57" s="33" t="str">
        <f>IF(B57&lt;=D57,"SATISFIED","VIOLATED")</f>
        <v>SATISFIED</v>
      </c>
    </row>
    <row r="58" spans="1:7" ht="14.4" x14ac:dyDescent="0.2">
      <c r="A58" s="2" t="s">
        <v>133</v>
      </c>
      <c r="B58" s="32">
        <f>BEDS_CARROT</f>
        <v>20</v>
      </c>
      <c r="C58" s="17" t="s">
        <v>132</v>
      </c>
      <c r="D58" s="32">
        <f>CAR_MAX_BEDS</f>
        <v>20</v>
      </c>
      <c r="E58" s="15">
        <f>D58-B58</f>
        <v>0</v>
      </c>
      <c r="F58" s="33" t="str">
        <f>IF(B58&lt;=D58,"SATISFIED","VIOLATED")</f>
        <v>SATISFIED</v>
      </c>
    </row>
    <row r="59" spans="1:7" ht="14.4" x14ac:dyDescent="0.2">
      <c r="A59" s="2" t="s">
        <v>134</v>
      </c>
      <c r="B59" s="32">
        <f>BEDS_MESCLUN</f>
        <v>30</v>
      </c>
      <c r="C59" s="17" t="s">
        <v>132</v>
      </c>
      <c r="D59" s="32">
        <f>MES_MAX_BEDS</f>
        <v>30</v>
      </c>
      <c r="E59" s="15">
        <f>D59-B59</f>
        <v>0</v>
      </c>
      <c r="F59" s="33" t="str">
        <f>IF(B59&lt;=D59,"SATISFIED","VIOLATED")</f>
        <v>SATISFIED</v>
      </c>
    </row>
    <row r="60" spans="1:7" ht="14.4" x14ac:dyDescent="0.2">
      <c r="A60" s="2" t="s">
        <v>135</v>
      </c>
      <c r="B60" s="32">
        <f>TOTAL_PLANTED_BEDS</f>
        <v>60</v>
      </c>
      <c r="C60" s="17" t="s">
        <v>132</v>
      </c>
      <c r="D60" s="32">
        <f>FARM_MAX_BEDS</f>
        <v>64</v>
      </c>
      <c r="E60" s="15">
        <f>D60-B60</f>
        <v>4</v>
      </c>
      <c r="F60" s="33" t="str">
        <f>IF(B60&lt;=D60,"SATISFIED","VIOLATED")</f>
        <v>SATISFIED</v>
      </c>
    </row>
    <row r="61" spans="1:7" ht="14.4" x14ac:dyDescent="0.2">
      <c r="A61" s="2" t="s">
        <v>136</v>
      </c>
      <c r="B61" s="34">
        <f>TOTAL_LABOR_HRS</f>
        <v>5276.8228463282185</v>
      </c>
      <c r="C61" s="17" t="s">
        <v>132</v>
      </c>
      <c r="D61" s="34">
        <f>TOTAL_LABOR_CAP</f>
        <v>6480</v>
      </c>
      <c r="E61" s="35">
        <f>D61-B61</f>
        <v>1203.1771536717815</v>
      </c>
      <c r="F61" s="33" t="str">
        <f>IF(B61&lt;=D61,"SATISFIED","VIOLATED")</f>
        <v>SATISFIED</v>
      </c>
    </row>
  </sheetData>
  <mergeCells count="6">
    <mergeCell ref="A1:G1"/>
    <mergeCell ref="A55:G55"/>
    <mergeCell ref="A4:G4"/>
    <mergeCell ref="A30:G30"/>
    <mergeCell ref="A2:G2"/>
    <mergeCell ref="A37:G37"/>
  </mergeCells>
  <phoneticPr fontId="7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1"/>
  <sheetViews>
    <sheetView topLeftCell="A56" workbookViewId="0">
      <selection activeCell="A50" sqref="A50:H81"/>
    </sheetView>
  </sheetViews>
  <sheetFormatPr defaultRowHeight="13.2" x14ac:dyDescent="0.2"/>
  <cols>
    <col min="1" max="1" width="10" customWidth="1"/>
    <col min="2" max="2" width="20" customWidth="1"/>
    <col min="3" max="3" width="18" customWidth="1"/>
    <col min="4" max="4" width="22" customWidth="1"/>
    <col min="5" max="5" width="18" customWidth="1"/>
    <col min="6" max="6" width="22" customWidth="1"/>
    <col min="7" max="7" width="16" customWidth="1"/>
    <col min="8" max="8" width="24" customWidth="1"/>
  </cols>
  <sheetData>
    <row r="1" spans="1:8" ht="21" x14ac:dyDescent="0.4">
      <c r="A1" s="54" t="s">
        <v>137</v>
      </c>
      <c r="B1" s="55"/>
      <c r="C1" s="55"/>
      <c r="D1" s="55"/>
      <c r="E1" s="55"/>
      <c r="F1" s="55"/>
      <c r="G1" s="55"/>
    </row>
    <row r="2" spans="1:8" ht="14.4" x14ac:dyDescent="0.3">
      <c r="A2" s="58" t="s">
        <v>138</v>
      </c>
      <c r="B2" s="55"/>
      <c r="C2" s="55"/>
      <c r="D2" s="55"/>
      <c r="E2" s="55"/>
      <c r="F2" s="55"/>
      <c r="G2" s="55"/>
    </row>
    <row r="4" spans="1:8" ht="15.6" x14ac:dyDescent="0.2">
      <c r="A4" s="57" t="s">
        <v>139</v>
      </c>
      <c r="B4" s="55"/>
      <c r="C4" s="55"/>
      <c r="D4" s="55"/>
      <c r="E4" s="55"/>
      <c r="F4" s="55"/>
      <c r="G4" s="55"/>
      <c r="H4" s="55"/>
    </row>
    <row r="5" spans="1:8" ht="14.4" x14ac:dyDescent="0.2">
      <c r="A5" s="1" t="s">
        <v>140</v>
      </c>
      <c r="B5" s="1" t="s">
        <v>141</v>
      </c>
      <c r="C5" s="1" t="s">
        <v>142</v>
      </c>
      <c r="D5" s="1" t="s">
        <v>143</v>
      </c>
      <c r="E5" s="1" t="s">
        <v>144</v>
      </c>
      <c r="F5" s="1" t="s">
        <v>145</v>
      </c>
      <c r="G5" s="1" t="s">
        <v>146</v>
      </c>
      <c r="H5" s="1" t="s">
        <v>147</v>
      </c>
    </row>
    <row r="6" spans="1:8" ht="14.4" x14ac:dyDescent="0.2">
      <c r="A6" s="36">
        <v>1</v>
      </c>
      <c r="B6" s="37">
        <f>1*TOM_BASE_HRS*WEEKS*(1+TOM_DIM_PCT)^1</f>
        <v>99.000000000000014</v>
      </c>
      <c r="C6" s="38">
        <f>B6</f>
        <v>99.000000000000014</v>
      </c>
      <c r="D6" s="39">
        <f>IF(B6&lt;=OWNER_HRS_CAP, C6*OWNER_RATE, IF(0&gt;=OWNER_HRS_CAP, C6*TEMP_RATE, (OWNER_HRS_CAP-0)*OWNER_RATE + (B6-OWNER_HRS_CAP)*TEMP_RATE))</f>
        <v>3437.28</v>
      </c>
      <c r="E6" s="40">
        <f t="shared" ref="E6:E25" si="0">TOM_FERT</f>
        <v>880</v>
      </c>
      <c r="F6" s="41">
        <f t="shared" ref="F6:F25" si="1">D6+E6</f>
        <v>4317.2800000000007</v>
      </c>
      <c r="G6" s="42">
        <f t="shared" ref="G6:G25" si="2">TOM_PRICE</f>
        <v>8800</v>
      </c>
      <c r="H6" s="41">
        <f t="shared" ref="H6:H25" si="3">G6-F6</f>
        <v>4482.7199999999993</v>
      </c>
    </row>
    <row r="7" spans="1:8" ht="14.4" x14ac:dyDescent="0.2">
      <c r="A7" s="17">
        <v>2</v>
      </c>
      <c r="B7" s="43">
        <f>2*TOM_BASE_HRS*WEEKS*(1+TOM_DIM_PCT)^2</f>
        <v>217.80000000000004</v>
      </c>
      <c r="C7" s="35">
        <f t="shared" ref="C7:C25" si="4">B7-B6</f>
        <v>118.80000000000003</v>
      </c>
      <c r="D7" s="44">
        <f t="shared" ref="D7:D25" si="5">IF(B7&lt;=OWNER_HRS_CAP, C7*OWNER_RATE, IF(B6&gt;=OWNER_HRS_CAP, C7*TEMP_RATE, (OWNER_HRS_CAP-B6)*OWNER_RATE + (B7-OWNER_HRS_CAP)*TEMP_RATE))</f>
        <v>4124.7360000000008</v>
      </c>
      <c r="E7" s="45">
        <f t="shared" si="0"/>
        <v>880</v>
      </c>
      <c r="F7" s="46">
        <f t="shared" si="1"/>
        <v>5004.7360000000008</v>
      </c>
      <c r="G7" s="47">
        <f t="shared" si="2"/>
        <v>8800</v>
      </c>
      <c r="H7" s="46">
        <f t="shared" si="3"/>
        <v>3795.2639999999992</v>
      </c>
    </row>
    <row r="8" spans="1:8" ht="14.4" x14ac:dyDescent="0.2">
      <c r="A8" s="36">
        <v>3</v>
      </c>
      <c r="B8" s="37">
        <f>3*TOM_BASE_HRS*WEEKS*(1+TOM_DIM_PCT)^3</f>
        <v>359.37000000000012</v>
      </c>
      <c r="C8" s="38">
        <f t="shared" si="4"/>
        <v>141.57000000000008</v>
      </c>
      <c r="D8" s="39">
        <f t="shared" si="5"/>
        <v>4915.3104000000021</v>
      </c>
      <c r="E8" s="40">
        <f t="shared" si="0"/>
        <v>880</v>
      </c>
      <c r="F8" s="41">
        <f t="shared" si="1"/>
        <v>5795.3104000000021</v>
      </c>
      <c r="G8" s="42">
        <f t="shared" si="2"/>
        <v>8800</v>
      </c>
      <c r="H8" s="41">
        <f t="shared" si="3"/>
        <v>3004.6895999999979</v>
      </c>
    </row>
    <row r="9" spans="1:8" ht="14.4" x14ac:dyDescent="0.2">
      <c r="A9" s="17">
        <v>4</v>
      </c>
      <c r="B9" s="43">
        <f>4*TOM_BASE_HRS*WEEKS*(1+TOM_DIM_PCT)^4</f>
        <v>527.07600000000014</v>
      </c>
      <c r="C9" s="35">
        <f t="shared" si="4"/>
        <v>167.70600000000002</v>
      </c>
      <c r="D9" s="44">
        <f t="shared" si="5"/>
        <v>5822.7523200000005</v>
      </c>
      <c r="E9" s="45">
        <f t="shared" si="0"/>
        <v>880</v>
      </c>
      <c r="F9" s="46">
        <f t="shared" si="1"/>
        <v>6702.7523200000005</v>
      </c>
      <c r="G9" s="47">
        <f t="shared" si="2"/>
        <v>8800</v>
      </c>
      <c r="H9" s="46">
        <f t="shared" si="3"/>
        <v>2097.2476799999995</v>
      </c>
    </row>
    <row r="10" spans="1:8" ht="14.4" x14ac:dyDescent="0.2">
      <c r="A10" s="36">
        <v>5</v>
      </c>
      <c r="B10" s="37">
        <f>5*TOM_BASE_HRS*WEEKS*(1+TOM_DIM_PCT)^5</f>
        <v>724.72950000000026</v>
      </c>
      <c r="C10" s="38">
        <f t="shared" si="4"/>
        <v>197.65350000000012</v>
      </c>
      <c r="D10" s="39">
        <f t="shared" si="5"/>
        <v>6780.4253999999992</v>
      </c>
      <c r="E10" s="40">
        <f t="shared" si="0"/>
        <v>880</v>
      </c>
      <c r="F10" s="41">
        <f t="shared" si="1"/>
        <v>7660.4253999999992</v>
      </c>
      <c r="G10" s="42">
        <f t="shared" si="2"/>
        <v>8800</v>
      </c>
      <c r="H10" s="41">
        <f t="shared" si="3"/>
        <v>1139.5746000000008</v>
      </c>
    </row>
    <row r="11" spans="1:8" ht="14.4" x14ac:dyDescent="0.2">
      <c r="A11" s="17">
        <v>6</v>
      </c>
      <c r="B11" s="43">
        <f>6*TOM_BASE_HRS*WEEKS*(1+TOM_DIM_PCT)^6</f>
        <v>956.64294000000041</v>
      </c>
      <c r="C11" s="35">
        <f t="shared" si="4"/>
        <v>231.91344000000015</v>
      </c>
      <c r="D11" s="44">
        <f t="shared" si="5"/>
        <v>4026.0173184000023</v>
      </c>
      <c r="E11" s="45">
        <f t="shared" si="0"/>
        <v>880</v>
      </c>
      <c r="F11" s="46">
        <f t="shared" si="1"/>
        <v>4906.0173184000023</v>
      </c>
      <c r="G11" s="47">
        <f t="shared" si="2"/>
        <v>8800</v>
      </c>
      <c r="H11" s="46">
        <f t="shared" si="3"/>
        <v>3893.9826815999977</v>
      </c>
    </row>
    <row r="12" spans="1:8" ht="14.4" x14ac:dyDescent="0.2">
      <c r="A12" s="36">
        <v>7</v>
      </c>
      <c r="B12" s="37">
        <f>7*TOM_BASE_HRS*WEEKS*(1+TOM_DIM_PCT)^7</f>
        <v>1227.6917730000007</v>
      </c>
      <c r="C12" s="38">
        <f t="shared" si="4"/>
        <v>271.04883300000029</v>
      </c>
      <c r="D12" s="39">
        <f t="shared" si="5"/>
        <v>4705.4077408800049</v>
      </c>
      <c r="E12" s="40">
        <f t="shared" si="0"/>
        <v>880</v>
      </c>
      <c r="F12" s="41">
        <f t="shared" si="1"/>
        <v>5585.4077408800049</v>
      </c>
      <c r="G12" s="42">
        <f t="shared" si="2"/>
        <v>8800</v>
      </c>
      <c r="H12" s="41">
        <f t="shared" si="3"/>
        <v>3214.5922591199951</v>
      </c>
    </row>
    <row r="13" spans="1:8" ht="14.4" x14ac:dyDescent="0.2">
      <c r="A13" s="17">
        <v>8</v>
      </c>
      <c r="B13" s="43">
        <f>8*TOM_BASE_HRS*WEEKS*(1+TOM_DIM_PCT)^8</f>
        <v>1543.3839432000009</v>
      </c>
      <c r="C13" s="35">
        <f t="shared" si="4"/>
        <v>315.69217020000019</v>
      </c>
      <c r="D13" s="44">
        <f t="shared" si="5"/>
        <v>5480.4160746720036</v>
      </c>
      <c r="E13" s="45">
        <f t="shared" si="0"/>
        <v>880</v>
      </c>
      <c r="F13" s="46">
        <f t="shared" si="1"/>
        <v>6360.4160746720036</v>
      </c>
      <c r="G13" s="47">
        <f t="shared" si="2"/>
        <v>8800</v>
      </c>
      <c r="H13" s="46">
        <f t="shared" si="3"/>
        <v>2439.5839253279964</v>
      </c>
    </row>
    <row r="14" spans="1:8" ht="14.4" x14ac:dyDescent="0.2">
      <c r="A14" s="36">
        <v>9</v>
      </c>
      <c r="B14" s="37">
        <f>9*TOM_BASE_HRS*WEEKS*(1+TOM_DIM_PCT)^9</f>
        <v>1909.9376297100011</v>
      </c>
      <c r="C14" s="38">
        <f t="shared" si="4"/>
        <v>366.55368651000026</v>
      </c>
      <c r="D14" s="39">
        <f t="shared" si="5"/>
        <v>6363.3719978136041</v>
      </c>
      <c r="E14" s="40">
        <f t="shared" si="0"/>
        <v>880</v>
      </c>
      <c r="F14" s="41">
        <f t="shared" si="1"/>
        <v>7243.3719978136041</v>
      </c>
      <c r="G14" s="42">
        <f t="shared" si="2"/>
        <v>8800</v>
      </c>
      <c r="H14" s="41">
        <f t="shared" si="3"/>
        <v>1556.6280021863959</v>
      </c>
    </row>
    <row r="15" spans="1:8" ht="14.4" x14ac:dyDescent="0.2">
      <c r="A15" s="17">
        <v>10</v>
      </c>
      <c r="B15" s="43">
        <f>10*TOM_BASE_HRS*WEEKS*(1+TOM_DIM_PCT)^10</f>
        <v>2334.3682140900019</v>
      </c>
      <c r="C15" s="35">
        <f t="shared" si="4"/>
        <v>424.43058438000071</v>
      </c>
      <c r="D15" s="44">
        <f t="shared" si="5"/>
        <v>7368.1149448368124</v>
      </c>
      <c r="E15" s="45">
        <f t="shared" si="0"/>
        <v>880</v>
      </c>
      <c r="F15" s="46">
        <f t="shared" si="1"/>
        <v>8248.1149448368124</v>
      </c>
      <c r="G15" s="47">
        <f t="shared" si="2"/>
        <v>8800</v>
      </c>
      <c r="H15" s="46">
        <f t="shared" si="3"/>
        <v>551.88505516318764</v>
      </c>
    </row>
    <row r="16" spans="1:8" ht="14.4" x14ac:dyDescent="0.2">
      <c r="A16" s="36">
        <v>11</v>
      </c>
      <c r="B16" s="37">
        <f>11*TOM_BASE_HRS*WEEKS*(1+TOM_DIM_PCT)^11</f>
        <v>2824.5855390489023</v>
      </c>
      <c r="C16" s="38">
        <f t="shared" si="4"/>
        <v>490.21732495890046</v>
      </c>
      <c r="D16" s="39">
        <f t="shared" si="5"/>
        <v>8510.1727612865125</v>
      </c>
      <c r="E16" s="40">
        <f t="shared" si="0"/>
        <v>880</v>
      </c>
      <c r="F16" s="41">
        <f t="shared" si="1"/>
        <v>9390.1727612865125</v>
      </c>
      <c r="G16" s="42">
        <f t="shared" si="2"/>
        <v>8800</v>
      </c>
      <c r="H16" s="41">
        <f t="shared" si="3"/>
        <v>-590.17276128651247</v>
      </c>
    </row>
    <row r="17" spans="1:8" ht="14.4" x14ac:dyDescent="0.2">
      <c r="A17" s="17">
        <v>12</v>
      </c>
      <c r="B17" s="43">
        <f>12*TOM_BASE_HRS*WEEKS*(1+TOM_DIM_PCT)^12</f>
        <v>3389.502646858683</v>
      </c>
      <c r="C17" s="35">
        <f t="shared" si="4"/>
        <v>564.91710780978065</v>
      </c>
      <c r="D17" s="44">
        <f t="shared" si="5"/>
        <v>9806.960991577791</v>
      </c>
      <c r="E17" s="45">
        <f t="shared" si="0"/>
        <v>880</v>
      </c>
      <c r="F17" s="46">
        <f t="shared" si="1"/>
        <v>10686.960991577791</v>
      </c>
      <c r="G17" s="47">
        <f t="shared" si="2"/>
        <v>8800</v>
      </c>
      <c r="H17" s="46">
        <f t="shared" si="3"/>
        <v>-1886.960991577791</v>
      </c>
    </row>
    <row r="18" spans="1:8" ht="14.4" x14ac:dyDescent="0.2">
      <c r="A18" s="36">
        <v>13</v>
      </c>
      <c r="B18" s="37">
        <f>13*TOM_BASE_HRS*WEEKS*(1+TOM_DIM_PCT)^13</f>
        <v>4039.1573208399304</v>
      </c>
      <c r="C18" s="38">
        <f t="shared" si="4"/>
        <v>649.65467398124747</v>
      </c>
      <c r="D18" s="39">
        <f t="shared" si="5"/>
        <v>11278.005140314455</v>
      </c>
      <c r="E18" s="40">
        <f t="shared" si="0"/>
        <v>880</v>
      </c>
      <c r="F18" s="41">
        <f t="shared" si="1"/>
        <v>12158.005140314455</v>
      </c>
      <c r="G18" s="42">
        <f t="shared" si="2"/>
        <v>8800</v>
      </c>
      <c r="H18" s="41">
        <f t="shared" si="3"/>
        <v>-3358.0051403144553</v>
      </c>
    </row>
    <row r="19" spans="1:8" ht="14.4" x14ac:dyDescent="0.2">
      <c r="A19" s="17">
        <v>14</v>
      </c>
      <c r="B19" s="43">
        <f>14*TOM_BASE_HRS*WEEKS*(1+TOM_DIM_PCT)^14</f>
        <v>4784.8479031488414</v>
      </c>
      <c r="C19" s="35">
        <f t="shared" si="4"/>
        <v>745.69058230891096</v>
      </c>
      <c r="D19" s="44">
        <f t="shared" si="5"/>
        <v>12945.188508882693</v>
      </c>
      <c r="E19" s="45">
        <f t="shared" si="0"/>
        <v>880</v>
      </c>
      <c r="F19" s="46">
        <f t="shared" si="1"/>
        <v>13825.188508882693</v>
      </c>
      <c r="G19" s="47">
        <f t="shared" si="2"/>
        <v>8800</v>
      </c>
      <c r="H19" s="46">
        <f t="shared" si="3"/>
        <v>-5025.188508882693</v>
      </c>
    </row>
    <row r="20" spans="1:8" ht="14.4" x14ac:dyDescent="0.2">
      <c r="A20" s="36">
        <v>15</v>
      </c>
      <c r="B20" s="37">
        <f>15*TOM_BASE_HRS*WEEKS*(1+TOM_DIM_PCT)^15</f>
        <v>5639.2850287111351</v>
      </c>
      <c r="C20" s="38">
        <f t="shared" si="4"/>
        <v>854.43712556229366</v>
      </c>
      <c r="D20" s="39">
        <f t="shared" si="5"/>
        <v>14833.028499761418</v>
      </c>
      <c r="E20" s="40">
        <f t="shared" si="0"/>
        <v>880</v>
      </c>
      <c r="F20" s="41">
        <f t="shared" si="1"/>
        <v>15713.028499761418</v>
      </c>
      <c r="G20" s="42">
        <f t="shared" si="2"/>
        <v>8800</v>
      </c>
      <c r="H20" s="41">
        <f t="shared" si="3"/>
        <v>-6913.0284997614181</v>
      </c>
    </row>
    <row r="21" spans="1:8" ht="14.4" x14ac:dyDescent="0.2">
      <c r="A21" s="17">
        <v>16</v>
      </c>
      <c r="B21" s="43">
        <f>16*TOM_BASE_HRS*WEEKS*(1+TOM_DIM_PCT)^16</f>
        <v>6616.761100354398</v>
      </c>
      <c r="C21" s="35">
        <f t="shared" si="4"/>
        <v>977.47607164326291</v>
      </c>
      <c r="D21" s="44">
        <f t="shared" si="5"/>
        <v>16968.984603727044</v>
      </c>
      <c r="E21" s="45">
        <f t="shared" si="0"/>
        <v>880</v>
      </c>
      <c r="F21" s="46">
        <f t="shared" si="1"/>
        <v>17848.984603727044</v>
      </c>
      <c r="G21" s="47">
        <f t="shared" si="2"/>
        <v>8800</v>
      </c>
      <c r="H21" s="46">
        <f t="shared" si="3"/>
        <v>-9048.9846037270436</v>
      </c>
    </row>
    <row r="22" spans="1:8" ht="14.4" x14ac:dyDescent="0.2">
      <c r="A22" s="36">
        <v>17</v>
      </c>
      <c r="B22" s="37">
        <f>17*TOM_BASE_HRS*WEEKS*(1+TOM_DIM_PCT)^17</f>
        <v>7733.3395360392033</v>
      </c>
      <c r="C22" s="38">
        <f t="shared" si="4"/>
        <v>1116.5784356848053</v>
      </c>
      <c r="D22" s="39">
        <f t="shared" si="5"/>
        <v>19383.801643488219</v>
      </c>
      <c r="E22" s="40">
        <f t="shared" si="0"/>
        <v>880</v>
      </c>
      <c r="F22" s="41">
        <f t="shared" si="1"/>
        <v>20263.801643488219</v>
      </c>
      <c r="G22" s="42">
        <f t="shared" si="2"/>
        <v>8800</v>
      </c>
      <c r="H22" s="41">
        <f t="shared" si="3"/>
        <v>-11463.801643488219</v>
      </c>
    </row>
    <row r="23" spans="1:8" ht="14.4" x14ac:dyDescent="0.2">
      <c r="A23" s="17">
        <v>18</v>
      </c>
      <c r="B23" s="43">
        <f>18*TOM_BASE_HRS*WEEKS*(1+TOM_DIM_PCT)^18</f>
        <v>9007.0660478574246</v>
      </c>
      <c r="C23" s="35">
        <f t="shared" si="4"/>
        <v>1273.7265118182213</v>
      </c>
      <c r="D23" s="44">
        <f t="shared" si="5"/>
        <v>22111.892245164319</v>
      </c>
      <c r="E23" s="45">
        <f t="shared" si="0"/>
        <v>880</v>
      </c>
      <c r="F23" s="46">
        <f t="shared" si="1"/>
        <v>22991.892245164319</v>
      </c>
      <c r="G23" s="47">
        <f t="shared" si="2"/>
        <v>8800</v>
      </c>
      <c r="H23" s="46">
        <f t="shared" si="3"/>
        <v>-14191.892245164319</v>
      </c>
    </row>
    <row r="24" spans="1:8" ht="14.4" x14ac:dyDescent="0.2">
      <c r="A24" s="36">
        <v>19</v>
      </c>
      <c r="B24" s="37">
        <f>19*TOM_BASE_HRS*WEEKS*(1+TOM_DIM_PCT)^19</f>
        <v>10458.204466678902</v>
      </c>
      <c r="C24" s="38">
        <f t="shared" si="4"/>
        <v>1451.1384188214779</v>
      </c>
      <c r="D24" s="39">
        <f t="shared" si="5"/>
        <v>25191.762950740856</v>
      </c>
      <c r="E24" s="40">
        <f t="shared" si="0"/>
        <v>880</v>
      </c>
      <c r="F24" s="41">
        <f t="shared" si="1"/>
        <v>26071.762950740856</v>
      </c>
      <c r="G24" s="42">
        <f t="shared" si="2"/>
        <v>8800</v>
      </c>
      <c r="H24" s="41">
        <f t="shared" si="3"/>
        <v>-17271.762950740856</v>
      </c>
    </row>
    <row r="25" spans="1:8" ht="14.4" x14ac:dyDescent="0.2">
      <c r="A25" s="17">
        <v>20</v>
      </c>
      <c r="B25" s="43">
        <f>20*TOM_BASE_HRS*WEEKS*(1+TOM_DIM_PCT)^20</f>
        <v>12109.499908786096</v>
      </c>
      <c r="C25" s="35">
        <f t="shared" si="4"/>
        <v>1651.2954421071936</v>
      </c>
      <c r="D25" s="44">
        <f t="shared" si="5"/>
        <v>28666.488874980882</v>
      </c>
      <c r="E25" s="45">
        <f t="shared" si="0"/>
        <v>880</v>
      </c>
      <c r="F25" s="46">
        <f t="shared" si="1"/>
        <v>29546.488874980882</v>
      </c>
      <c r="G25" s="47">
        <f t="shared" si="2"/>
        <v>8800</v>
      </c>
      <c r="H25" s="46">
        <f t="shared" si="3"/>
        <v>-20746.488874980882</v>
      </c>
    </row>
    <row r="27" spans="1:8" ht="15.6" x14ac:dyDescent="0.2">
      <c r="A27" s="57" t="s">
        <v>148</v>
      </c>
      <c r="B27" s="55"/>
      <c r="C27" s="55"/>
      <c r="D27" s="55"/>
      <c r="E27" s="55"/>
      <c r="F27" s="55"/>
      <c r="G27" s="55"/>
      <c r="H27" s="55"/>
    </row>
    <row r="28" spans="1:8" ht="14.4" x14ac:dyDescent="0.2">
      <c r="A28" s="1" t="s">
        <v>140</v>
      </c>
      <c r="B28" s="1" t="s">
        <v>141</v>
      </c>
      <c r="C28" s="1" t="s">
        <v>142</v>
      </c>
      <c r="D28" s="1" t="s">
        <v>143</v>
      </c>
      <c r="E28" s="1" t="s">
        <v>144</v>
      </c>
      <c r="F28" s="1" t="s">
        <v>145</v>
      </c>
      <c r="G28" s="1" t="s">
        <v>146</v>
      </c>
      <c r="H28" s="1" t="s">
        <v>147</v>
      </c>
    </row>
    <row r="29" spans="1:8" ht="14.4" x14ac:dyDescent="0.2">
      <c r="A29" s="36">
        <v>1</v>
      </c>
      <c r="B29" s="37">
        <f>1*CAR_BASE_HRS*WEEKS*(1+CAR_DIM_PCT)^1</f>
        <v>30.737699999999997</v>
      </c>
      <c r="C29" s="38">
        <f>B29</f>
        <v>30.737699999999997</v>
      </c>
      <c r="D29" s="39">
        <f>IF(B29&lt;=OWNER_HRS_CAP, C29*OWNER_RATE, IF(0&gt;=OWNER_HRS_CAP, C29*TEMP_RATE, (OWNER_HRS_CAP-0)*OWNER_RATE + (B29-OWNER_HRS_CAP)*TEMP_RATE))</f>
        <v>1067.2129439999999</v>
      </c>
      <c r="E29" s="40">
        <f t="shared" ref="E29:E48" si="6">CAR_FERT</f>
        <v>440</v>
      </c>
      <c r="F29" s="41">
        <f t="shared" ref="F29:F48" si="7">D29+E29</f>
        <v>1507.2129439999999</v>
      </c>
      <c r="G29" s="42">
        <f t="shared" ref="G29:G48" si="8">CAR_PRICE</f>
        <v>2094</v>
      </c>
      <c r="H29" s="41">
        <f t="shared" ref="H29:H48" si="9">G29-F29</f>
        <v>586.78705600000012</v>
      </c>
    </row>
    <row r="30" spans="1:8" ht="14.4" x14ac:dyDescent="0.2">
      <c r="A30" s="17">
        <v>2</v>
      </c>
      <c r="B30" s="43">
        <f>2*CAR_BASE_HRS*WEEKS*(1+CAR_DIM_PCT)^2</f>
        <v>63.012284999999991</v>
      </c>
      <c r="C30" s="35">
        <f t="shared" ref="C30:C48" si="10">B30-B29</f>
        <v>32.274584999999995</v>
      </c>
      <c r="D30" s="44">
        <f t="shared" ref="D30:D48" si="11">IF(B30&lt;=OWNER_HRS_CAP, C30*OWNER_RATE, IF(B29&gt;=OWNER_HRS_CAP, C30*TEMP_RATE, (OWNER_HRS_CAP-B29)*OWNER_RATE + (B30-OWNER_HRS_CAP)*TEMP_RATE))</f>
        <v>1120.5735911999998</v>
      </c>
      <c r="E30" s="45">
        <f t="shared" si="6"/>
        <v>440</v>
      </c>
      <c r="F30" s="46">
        <f t="shared" si="7"/>
        <v>1560.5735911999998</v>
      </c>
      <c r="G30" s="47">
        <f t="shared" si="8"/>
        <v>2094</v>
      </c>
      <c r="H30" s="46">
        <f t="shared" si="9"/>
        <v>533.42640880000022</v>
      </c>
    </row>
    <row r="31" spans="1:8" ht="14.4" x14ac:dyDescent="0.2">
      <c r="A31" s="36">
        <v>3</v>
      </c>
      <c r="B31" s="37">
        <f>3*CAR_BASE_HRS*WEEKS*(1+CAR_DIM_PCT)^3</f>
        <v>96.881388187499979</v>
      </c>
      <c r="C31" s="38">
        <f t="shared" si="10"/>
        <v>33.869103187499988</v>
      </c>
      <c r="D31" s="39">
        <f t="shared" si="11"/>
        <v>1175.9352626699995</v>
      </c>
      <c r="E31" s="40">
        <f t="shared" si="6"/>
        <v>440</v>
      </c>
      <c r="F31" s="41">
        <f t="shared" si="7"/>
        <v>1615.9352626699995</v>
      </c>
      <c r="G31" s="42">
        <f t="shared" si="8"/>
        <v>2094</v>
      </c>
      <c r="H31" s="41">
        <f t="shared" si="9"/>
        <v>478.06473733000053</v>
      </c>
    </row>
    <row r="32" spans="1:8" ht="14.4" x14ac:dyDescent="0.2">
      <c r="A32" s="17">
        <v>4</v>
      </c>
      <c r="B32" s="43">
        <f>4*CAR_BASE_HRS*WEEKS*(1+CAR_DIM_PCT)^4</f>
        <v>132.40456385624998</v>
      </c>
      <c r="C32" s="35">
        <f t="shared" si="10"/>
        <v>35.52317566875</v>
      </c>
      <c r="D32" s="44">
        <f t="shared" si="11"/>
        <v>1233.364659219</v>
      </c>
      <c r="E32" s="45">
        <f t="shared" si="6"/>
        <v>440</v>
      </c>
      <c r="F32" s="46">
        <f t="shared" si="7"/>
        <v>1673.364659219</v>
      </c>
      <c r="G32" s="47">
        <f t="shared" si="8"/>
        <v>2094</v>
      </c>
      <c r="H32" s="46">
        <f t="shared" si="9"/>
        <v>420.63534078099997</v>
      </c>
    </row>
    <row r="33" spans="1:8" ht="14.4" x14ac:dyDescent="0.2">
      <c r="A33" s="36">
        <v>5</v>
      </c>
      <c r="B33" s="37">
        <f>5*CAR_BASE_HRS*WEEKS*(1+CAR_DIM_PCT)^5</f>
        <v>169.64334744082026</v>
      </c>
      <c r="C33" s="38">
        <f t="shared" si="10"/>
        <v>37.238783584570285</v>
      </c>
      <c r="D33" s="39">
        <f t="shared" si="11"/>
        <v>1292.9305660562802</v>
      </c>
      <c r="E33" s="40">
        <f t="shared" si="6"/>
        <v>440</v>
      </c>
      <c r="F33" s="41">
        <f t="shared" si="7"/>
        <v>1732.9305660562802</v>
      </c>
      <c r="G33" s="42">
        <f t="shared" si="8"/>
        <v>2094</v>
      </c>
      <c r="H33" s="41">
        <f t="shared" si="9"/>
        <v>361.06943394371979</v>
      </c>
    </row>
    <row r="34" spans="1:8" ht="14.4" x14ac:dyDescent="0.2">
      <c r="A34" s="17">
        <v>6</v>
      </c>
      <c r="B34" s="43">
        <f>6*CAR_BASE_HRS*WEEKS*(1+CAR_DIM_PCT)^6</f>
        <v>208.66131735220887</v>
      </c>
      <c r="C34" s="35">
        <f t="shared" si="10"/>
        <v>39.017969911388604</v>
      </c>
      <c r="D34" s="44">
        <f t="shared" si="11"/>
        <v>1354.7039153234123</v>
      </c>
      <c r="E34" s="45">
        <f t="shared" si="6"/>
        <v>440</v>
      </c>
      <c r="F34" s="46">
        <f t="shared" si="7"/>
        <v>1794.7039153234123</v>
      </c>
      <c r="G34" s="47">
        <f t="shared" si="8"/>
        <v>2094</v>
      </c>
      <c r="H34" s="46">
        <f t="shared" si="9"/>
        <v>299.29608467658772</v>
      </c>
    </row>
    <row r="35" spans="1:8" ht="14.4" x14ac:dyDescent="0.2">
      <c r="A35" s="36">
        <v>7</v>
      </c>
      <c r="B35" s="37">
        <f>7*CAR_BASE_HRS*WEEKS*(1+CAR_DIM_PCT)^7</f>
        <v>249.52415866701648</v>
      </c>
      <c r="C35" s="38">
        <f t="shared" si="10"/>
        <v>40.862841314807611</v>
      </c>
      <c r="D35" s="39">
        <f t="shared" si="11"/>
        <v>1418.7578504501203</v>
      </c>
      <c r="E35" s="40">
        <f t="shared" si="6"/>
        <v>440</v>
      </c>
      <c r="F35" s="41">
        <f t="shared" si="7"/>
        <v>1858.7578504501203</v>
      </c>
      <c r="G35" s="42">
        <f t="shared" si="8"/>
        <v>2094</v>
      </c>
      <c r="H35" s="41">
        <f t="shared" si="9"/>
        <v>235.24214954987974</v>
      </c>
    </row>
    <row r="36" spans="1:8" ht="14.4" x14ac:dyDescent="0.2">
      <c r="A36" s="17">
        <v>8</v>
      </c>
      <c r="B36" s="43">
        <f>8*CAR_BASE_HRS*WEEKS*(1+CAR_DIM_PCT)^8</f>
        <v>292.29972872421928</v>
      </c>
      <c r="C36" s="35">
        <f t="shared" si="10"/>
        <v>42.775570057202799</v>
      </c>
      <c r="D36" s="44">
        <f t="shared" si="11"/>
        <v>1485.1677923860811</v>
      </c>
      <c r="E36" s="45">
        <f t="shared" si="6"/>
        <v>440</v>
      </c>
      <c r="F36" s="46">
        <f t="shared" si="7"/>
        <v>1925.1677923860811</v>
      </c>
      <c r="G36" s="47">
        <f t="shared" si="8"/>
        <v>2094</v>
      </c>
      <c r="H36" s="46">
        <f t="shared" si="9"/>
        <v>168.83220761391885</v>
      </c>
    </row>
    <row r="37" spans="1:8" ht="14.4" x14ac:dyDescent="0.2">
      <c r="A37" s="36">
        <v>9</v>
      </c>
      <c r="B37" s="37">
        <f>9*CAR_BASE_HRS*WEEKS*(1+CAR_DIM_PCT)^9</f>
        <v>337.05812468511533</v>
      </c>
      <c r="C37" s="38">
        <f t="shared" si="10"/>
        <v>44.758395960896053</v>
      </c>
      <c r="D37" s="39">
        <f t="shared" si="11"/>
        <v>1554.0115077623109</v>
      </c>
      <c r="E37" s="40">
        <f t="shared" si="6"/>
        <v>440</v>
      </c>
      <c r="F37" s="41">
        <f t="shared" si="7"/>
        <v>1994.0115077623109</v>
      </c>
      <c r="G37" s="42">
        <f t="shared" si="8"/>
        <v>2094</v>
      </c>
      <c r="H37" s="41">
        <f t="shared" si="9"/>
        <v>99.988492237689115</v>
      </c>
    </row>
    <row r="38" spans="1:8" ht="14.4" x14ac:dyDescent="0.2">
      <c r="A38" s="17">
        <v>10</v>
      </c>
      <c r="B38" s="43">
        <f>10*CAR_BASE_HRS*WEEKS*(1+CAR_DIM_PCT)^10</f>
        <v>383.87175311360357</v>
      </c>
      <c r="C38" s="35">
        <f t="shared" si="10"/>
        <v>46.813628428488244</v>
      </c>
      <c r="D38" s="44">
        <f t="shared" si="11"/>
        <v>1625.3691790371117</v>
      </c>
      <c r="E38" s="45">
        <f t="shared" si="6"/>
        <v>440</v>
      </c>
      <c r="F38" s="46">
        <f t="shared" si="7"/>
        <v>2065.3691790371117</v>
      </c>
      <c r="G38" s="47">
        <f t="shared" si="8"/>
        <v>2094</v>
      </c>
      <c r="H38" s="46">
        <f t="shared" si="9"/>
        <v>28.630820962888265</v>
      </c>
    </row>
    <row r="39" spans="1:8" ht="14.4" x14ac:dyDescent="0.2">
      <c r="A39" s="36">
        <v>11</v>
      </c>
      <c r="B39" s="37">
        <f>11*CAR_BASE_HRS*WEEKS*(1+CAR_DIM_PCT)^11</f>
        <v>432.81540163558799</v>
      </c>
      <c r="C39" s="38">
        <f t="shared" si="10"/>
        <v>48.943648521984414</v>
      </c>
      <c r="D39" s="39">
        <f t="shared" si="11"/>
        <v>1699.3234766832988</v>
      </c>
      <c r="E39" s="40">
        <f t="shared" si="6"/>
        <v>440</v>
      </c>
      <c r="F39" s="41">
        <f t="shared" si="7"/>
        <v>2139.3234766832988</v>
      </c>
      <c r="G39" s="42">
        <f t="shared" si="8"/>
        <v>2094</v>
      </c>
      <c r="H39" s="41">
        <f t="shared" si="9"/>
        <v>-45.32347668329885</v>
      </c>
    </row>
    <row r="40" spans="1:8" ht="14.4" x14ac:dyDescent="0.2">
      <c r="A40" s="17">
        <v>12</v>
      </c>
      <c r="B40" s="43">
        <f>12*CAR_BASE_HRS*WEEKS*(1+CAR_DIM_PCT)^12</f>
        <v>483.96631273797556</v>
      </c>
      <c r="C40" s="35">
        <f t="shared" si="10"/>
        <v>51.150911102387568</v>
      </c>
      <c r="D40" s="44">
        <f t="shared" si="11"/>
        <v>1775.9596334748962</v>
      </c>
      <c r="E40" s="45">
        <f t="shared" si="6"/>
        <v>440</v>
      </c>
      <c r="F40" s="46">
        <f t="shared" si="7"/>
        <v>2215.9596334748962</v>
      </c>
      <c r="G40" s="47">
        <f t="shared" si="8"/>
        <v>2094</v>
      </c>
      <c r="H40" s="46">
        <f t="shared" si="9"/>
        <v>-121.95963347489624</v>
      </c>
    </row>
    <row r="41" spans="1:8" ht="14.4" x14ac:dyDescent="0.2">
      <c r="A41" s="36">
        <v>13</v>
      </c>
      <c r="B41" s="37">
        <f>13*CAR_BASE_HRS*WEEKS*(1+CAR_DIM_PCT)^13</f>
        <v>537.4042597694604</v>
      </c>
      <c r="C41" s="38">
        <f t="shared" si="10"/>
        <v>53.437947031484839</v>
      </c>
      <c r="D41" s="39">
        <f t="shared" si="11"/>
        <v>1855.3655209331534</v>
      </c>
      <c r="E41" s="40">
        <f t="shared" si="6"/>
        <v>440</v>
      </c>
      <c r="F41" s="41">
        <f t="shared" si="7"/>
        <v>2295.3655209331537</v>
      </c>
      <c r="G41" s="42">
        <f t="shared" si="8"/>
        <v>2094</v>
      </c>
      <c r="H41" s="41">
        <f t="shared" si="9"/>
        <v>-201.36552093315368</v>
      </c>
    </row>
    <row r="42" spans="1:8" ht="14.4" x14ac:dyDescent="0.2">
      <c r="A42" s="17">
        <v>14</v>
      </c>
      <c r="B42" s="43">
        <f>14*CAR_BASE_HRS*WEEKS*(1+CAR_DIM_PCT)^14</f>
        <v>593.2116252070582</v>
      </c>
      <c r="C42" s="35">
        <f t="shared" si="10"/>
        <v>55.807365437597809</v>
      </c>
      <c r="D42" s="44">
        <f t="shared" si="11"/>
        <v>1937.6317279933958</v>
      </c>
      <c r="E42" s="45">
        <f t="shared" si="6"/>
        <v>440</v>
      </c>
      <c r="F42" s="46">
        <f t="shared" si="7"/>
        <v>2377.6317279933955</v>
      </c>
      <c r="G42" s="47">
        <f t="shared" si="8"/>
        <v>2094</v>
      </c>
      <c r="H42" s="46">
        <f t="shared" si="9"/>
        <v>-283.63172799339554</v>
      </c>
    </row>
    <row r="43" spans="1:8" ht="14.4" x14ac:dyDescent="0.2">
      <c r="A43" s="36">
        <v>15</v>
      </c>
      <c r="B43" s="37">
        <f>15*CAR_BASE_HRS*WEEKS*(1+CAR_DIM_PCT)^15</f>
        <v>651.47348125418</v>
      </c>
      <c r="C43" s="38">
        <f t="shared" si="10"/>
        <v>58.261856047121796</v>
      </c>
      <c r="D43" s="39">
        <f t="shared" si="11"/>
        <v>2022.8516419560688</v>
      </c>
      <c r="E43" s="40">
        <f t="shared" si="6"/>
        <v>440</v>
      </c>
      <c r="F43" s="41">
        <f t="shared" si="7"/>
        <v>2462.8516419560688</v>
      </c>
      <c r="G43" s="42">
        <f t="shared" si="8"/>
        <v>2094</v>
      </c>
      <c r="H43" s="41">
        <f t="shared" si="9"/>
        <v>-368.85164195606876</v>
      </c>
    </row>
    <row r="44" spans="1:8" ht="14.4" x14ac:dyDescent="0.2">
      <c r="A44" s="17">
        <v>16</v>
      </c>
      <c r="B44" s="43">
        <f>16*CAR_BASE_HRS*WEEKS*(1+CAR_DIM_PCT)^16</f>
        <v>712.27767283790342</v>
      </c>
      <c r="C44" s="35">
        <f t="shared" si="10"/>
        <v>60.804191583723423</v>
      </c>
      <c r="D44" s="44">
        <f t="shared" si="11"/>
        <v>2111.1215317868773</v>
      </c>
      <c r="E44" s="45">
        <f t="shared" si="6"/>
        <v>440</v>
      </c>
      <c r="F44" s="46">
        <f t="shared" si="7"/>
        <v>2551.1215317868773</v>
      </c>
      <c r="G44" s="47">
        <f t="shared" si="8"/>
        <v>2094</v>
      </c>
      <c r="H44" s="46">
        <f t="shared" si="9"/>
        <v>-457.12153178687731</v>
      </c>
    </row>
    <row r="45" spans="1:8" ht="14.4" x14ac:dyDescent="0.2">
      <c r="A45" s="36">
        <v>17</v>
      </c>
      <c r="B45" s="37">
        <f>17*CAR_BASE_HRS*WEEKS*(1+CAR_DIM_PCT)^17</f>
        <v>775.71490307502916</v>
      </c>
      <c r="C45" s="38">
        <f t="shared" si="10"/>
        <v>63.437230237125732</v>
      </c>
      <c r="D45" s="39">
        <f t="shared" si="11"/>
        <v>1235.3299164504992</v>
      </c>
      <c r="E45" s="40">
        <f t="shared" si="6"/>
        <v>440</v>
      </c>
      <c r="F45" s="41">
        <f t="shared" si="7"/>
        <v>1675.3299164504992</v>
      </c>
      <c r="G45" s="42">
        <f t="shared" si="8"/>
        <v>2094</v>
      </c>
      <c r="H45" s="41">
        <f t="shared" si="9"/>
        <v>418.67008354950076</v>
      </c>
    </row>
    <row r="46" spans="1:8" ht="14.4" x14ac:dyDescent="0.2">
      <c r="A46" s="17">
        <v>18</v>
      </c>
      <c r="B46" s="43">
        <f>18*CAR_BASE_HRS*WEEKS*(1+CAR_DIM_PCT)^18</f>
        <v>841.87882127848752</v>
      </c>
      <c r="C46" s="35">
        <f t="shared" si="10"/>
        <v>66.163918203458365</v>
      </c>
      <c r="D46" s="44">
        <f t="shared" si="11"/>
        <v>1148.6056200120372</v>
      </c>
      <c r="E46" s="45">
        <f t="shared" si="6"/>
        <v>440</v>
      </c>
      <c r="F46" s="46">
        <f t="shared" si="7"/>
        <v>1588.6056200120372</v>
      </c>
      <c r="G46" s="47">
        <f t="shared" si="8"/>
        <v>2094</v>
      </c>
      <c r="H46" s="46">
        <f t="shared" si="9"/>
        <v>505.39437998796279</v>
      </c>
    </row>
    <row r="47" spans="1:8" ht="14.4" x14ac:dyDescent="0.2">
      <c r="A47" s="36">
        <v>19</v>
      </c>
      <c r="B47" s="37">
        <f>19*CAR_BASE_HRS*WEEKS*(1+CAR_DIM_PCT)^19</f>
        <v>910.86611357769698</v>
      </c>
      <c r="C47" s="38">
        <f t="shared" si="10"/>
        <v>68.987292299209457</v>
      </c>
      <c r="D47" s="39">
        <f t="shared" si="11"/>
        <v>1197.6193943142762</v>
      </c>
      <c r="E47" s="40">
        <f t="shared" si="6"/>
        <v>440</v>
      </c>
      <c r="F47" s="41">
        <f t="shared" si="7"/>
        <v>1637.6193943142762</v>
      </c>
      <c r="G47" s="42">
        <f t="shared" si="8"/>
        <v>2094</v>
      </c>
      <c r="H47" s="41">
        <f t="shared" si="9"/>
        <v>456.38060568572382</v>
      </c>
    </row>
    <row r="48" spans="1:8" ht="14.4" x14ac:dyDescent="0.2">
      <c r="A48" s="17">
        <v>20</v>
      </c>
      <c r="B48" s="43">
        <f>20*CAR_BASE_HRS*WEEKS*(1+CAR_DIM_PCT)^20</f>
        <v>982.77659622856766</v>
      </c>
      <c r="C48" s="35">
        <f t="shared" si="10"/>
        <v>71.910482650870676</v>
      </c>
      <c r="D48" s="44">
        <f t="shared" si="11"/>
        <v>1248.3659788191148</v>
      </c>
      <c r="E48" s="45">
        <f t="shared" si="6"/>
        <v>440</v>
      </c>
      <c r="F48" s="46">
        <f t="shared" si="7"/>
        <v>1688.3659788191148</v>
      </c>
      <c r="G48" s="47">
        <f t="shared" si="8"/>
        <v>2094</v>
      </c>
      <c r="H48" s="46">
        <f t="shared" si="9"/>
        <v>405.63402118088516</v>
      </c>
    </row>
    <row r="50" spans="1:8" ht="15.6" x14ac:dyDescent="0.2">
      <c r="A50" s="57" t="s">
        <v>149</v>
      </c>
      <c r="B50" s="55"/>
      <c r="C50" s="55"/>
      <c r="D50" s="55"/>
      <c r="E50" s="55"/>
      <c r="F50" s="55"/>
      <c r="G50" s="55"/>
      <c r="H50" s="55"/>
    </row>
    <row r="51" spans="1:8" ht="14.4" x14ac:dyDescent="0.2">
      <c r="A51" s="1" t="s">
        <v>140</v>
      </c>
      <c r="B51" s="1" t="s">
        <v>141</v>
      </c>
      <c r="C51" s="1" t="s">
        <v>142</v>
      </c>
      <c r="D51" s="1" t="s">
        <v>143</v>
      </c>
      <c r="E51" s="1" t="s">
        <v>144</v>
      </c>
      <c r="F51" s="1" t="s">
        <v>145</v>
      </c>
      <c r="G51" s="1" t="s">
        <v>146</v>
      </c>
      <c r="H51" s="1" t="s">
        <v>147</v>
      </c>
    </row>
    <row r="52" spans="1:8" ht="14.4" x14ac:dyDescent="0.2">
      <c r="A52" s="36">
        <v>1</v>
      </c>
      <c r="B52" s="37">
        <f>1*MES_BASE_HRS*WEEKS*(1+MES_DIM_PCT)^1</f>
        <v>45.5625</v>
      </c>
      <c r="C52" s="38">
        <f>B52</f>
        <v>45.5625</v>
      </c>
      <c r="D52" s="39">
        <f>IF(B52&lt;=OWNER_HRS_CAP, C52*OWNER_RATE, IF(0&gt;=OWNER_HRS_CAP, C52*TEMP_RATE, (OWNER_HRS_CAP-0)*OWNER_RATE + (B52-OWNER_HRS_CAP)*TEMP_RATE))</f>
        <v>1581.9299999999998</v>
      </c>
      <c r="E52" s="40">
        <f t="shared" ref="E52:E81" si="12">MES_FERT</f>
        <v>880</v>
      </c>
      <c r="F52" s="41">
        <f t="shared" ref="F52:F81" si="13">D52+E52</f>
        <v>2461.9299999999998</v>
      </c>
      <c r="G52" s="42">
        <f t="shared" ref="G52:G81" si="14">MES_PRICE</f>
        <v>2700</v>
      </c>
      <c r="H52" s="41">
        <f t="shared" ref="H52:H81" si="15">G52-F52</f>
        <v>238.07000000000016</v>
      </c>
    </row>
    <row r="53" spans="1:8" ht="14.4" x14ac:dyDescent="0.2">
      <c r="A53" s="17">
        <v>2</v>
      </c>
      <c r="B53" s="43">
        <f>2*MES_BASE_HRS*WEEKS*(1+MES_DIM_PCT)^2</f>
        <v>92.264062499999994</v>
      </c>
      <c r="C53" s="35">
        <f t="shared" ref="C53:C81" si="16">B53-B52</f>
        <v>46.701562499999994</v>
      </c>
      <c r="D53" s="44">
        <f t="shared" ref="D53:D81" si="17">IF(B53&lt;=OWNER_HRS_CAP, C53*OWNER_RATE, IF(B52&gt;=OWNER_HRS_CAP, C53*TEMP_RATE, (OWNER_HRS_CAP-B52)*OWNER_RATE + (B53-OWNER_HRS_CAP)*TEMP_RATE))</f>
        <v>1621.4782499999997</v>
      </c>
      <c r="E53" s="45">
        <f t="shared" si="12"/>
        <v>880</v>
      </c>
      <c r="F53" s="46">
        <f t="shared" si="13"/>
        <v>2501.4782499999997</v>
      </c>
      <c r="G53" s="47">
        <f t="shared" si="14"/>
        <v>2700</v>
      </c>
      <c r="H53" s="46">
        <f t="shared" si="15"/>
        <v>198.52175000000034</v>
      </c>
    </row>
    <row r="54" spans="1:8" ht="14.4" x14ac:dyDescent="0.2">
      <c r="A54" s="36">
        <v>3</v>
      </c>
      <c r="B54" s="37">
        <f>3*MES_BASE_HRS*WEEKS*(1+MES_DIM_PCT)^3</f>
        <v>140.12604492187498</v>
      </c>
      <c r="C54" s="38">
        <f t="shared" si="16"/>
        <v>47.861982421874984</v>
      </c>
      <c r="D54" s="39">
        <f t="shared" si="17"/>
        <v>1661.7680296874994</v>
      </c>
      <c r="E54" s="40">
        <f t="shared" si="12"/>
        <v>880</v>
      </c>
      <c r="F54" s="41">
        <f t="shared" si="13"/>
        <v>2541.7680296874996</v>
      </c>
      <c r="G54" s="42">
        <f t="shared" si="14"/>
        <v>2700</v>
      </c>
      <c r="H54" s="41">
        <f t="shared" si="15"/>
        <v>158.23197031250038</v>
      </c>
    </row>
    <row r="55" spans="1:8" ht="14.4" x14ac:dyDescent="0.2">
      <c r="A55" s="17">
        <v>4</v>
      </c>
      <c r="B55" s="43">
        <f>4*MES_BASE_HRS*WEEKS*(1+MES_DIM_PCT)^4</f>
        <v>189.17016064453125</v>
      </c>
      <c r="C55" s="35">
        <f t="shared" si="16"/>
        <v>49.044115722656272</v>
      </c>
      <c r="D55" s="44">
        <f t="shared" si="17"/>
        <v>1702.8116978906257</v>
      </c>
      <c r="E55" s="45">
        <f t="shared" si="12"/>
        <v>880</v>
      </c>
      <c r="F55" s="46">
        <f t="shared" si="13"/>
        <v>2582.8116978906255</v>
      </c>
      <c r="G55" s="47">
        <f t="shared" si="14"/>
        <v>2700</v>
      </c>
      <c r="H55" s="46">
        <f t="shared" si="15"/>
        <v>117.18830210937449</v>
      </c>
    </row>
    <row r="56" spans="1:8" ht="14.4" x14ac:dyDescent="0.2">
      <c r="A56" s="36">
        <v>5</v>
      </c>
      <c r="B56" s="37">
        <f>5*MES_BASE_HRS*WEEKS*(1+MES_DIM_PCT)^5</f>
        <v>239.41848456573481</v>
      </c>
      <c r="C56" s="38">
        <f t="shared" si="16"/>
        <v>50.248323921203564</v>
      </c>
      <c r="D56" s="39">
        <f t="shared" si="17"/>
        <v>1744.6218065441876</v>
      </c>
      <c r="E56" s="40">
        <f t="shared" si="12"/>
        <v>880</v>
      </c>
      <c r="F56" s="41">
        <f t="shared" si="13"/>
        <v>2624.6218065441876</v>
      </c>
      <c r="G56" s="42">
        <f t="shared" si="14"/>
        <v>2700</v>
      </c>
      <c r="H56" s="41">
        <f t="shared" si="15"/>
        <v>75.378193455812379</v>
      </c>
    </row>
    <row r="57" spans="1:8" ht="14.4" x14ac:dyDescent="0.2">
      <c r="A57" s="17">
        <v>6</v>
      </c>
      <c r="B57" s="43">
        <f>6*MES_BASE_HRS*WEEKS*(1+MES_DIM_PCT)^6</f>
        <v>290.89345874736784</v>
      </c>
      <c r="C57" s="35">
        <f t="shared" si="16"/>
        <v>51.47497418163303</v>
      </c>
      <c r="D57" s="44">
        <f t="shared" si="17"/>
        <v>1787.2111035862988</v>
      </c>
      <c r="E57" s="45">
        <f t="shared" si="12"/>
        <v>880</v>
      </c>
      <c r="F57" s="46">
        <f t="shared" si="13"/>
        <v>2667.211103586299</v>
      </c>
      <c r="G57" s="47">
        <f t="shared" si="14"/>
        <v>2700</v>
      </c>
      <c r="H57" s="46">
        <f t="shared" si="15"/>
        <v>32.788896413700968</v>
      </c>
    </row>
    <row r="58" spans="1:8" ht="14.4" x14ac:dyDescent="0.2">
      <c r="A58" s="36">
        <v>7</v>
      </c>
      <c r="B58" s="37">
        <f>7*MES_BASE_HRS*WEEKS*(1+MES_DIM_PCT)^7</f>
        <v>343.61789814532818</v>
      </c>
      <c r="C58" s="38">
        <f t="shared" si="16"/>
        <v>52.724439397960339</v>
      </c>
      <c r="D58" s="39">
        <f t="shared" si="17"/>
        <v>1830.5925358971829</v>
      </c>
      <c r="E58" s="40">
        <f t="shared" si="12"/>
        <v>880</v>
      </c>
      <c r="F58" s="41">
        <f t="shared" si="13"/>
        <v>2710.5925358971826</v>
      </c>
      <c r="G58" s="42">
        <f t="shared" si="14"/>
        <v>2700</v>
      </c>
      <c r="H58" s="41">
        <f t="shared" si="15"/>
        <v>-10.592535897182643</v>
      </c>
    </row>
    <row r="59" spans="1:8" ht="14.4" x14ac:dyDescent="0.2">
      <c r="A59" s="17">
        <v>8</v>
      </c>
      <c r="B59" s="43">
        <f>8*MES_BASE_HRS*WEEKS*(1+MES_DIM_PCT)^8</f>
        <v>397.61499642530839</v>
      </c>
      <c r="C59" s="35">
        <f t="shared" si="16"/>
        <v>53.997098279980207</v>
      </c>
      <c r="D59" s="44">
        <f t="shared" si="17"/>
        <v>1874.7792522809127</v>
      </c>
      <c r="E59" s="45">
        <f t="shared" si="12"/>
        <v>880</v>
      </c>
      <c r="F59" s="46">
        <f t="shared" si="13"/>
        <v>2754.7792522809127</v>
      </c>
      <c r="G59" s="47">
        <f t="shared" si="14"/>
        <v>2700</v>
      </c>
      <c r="H59" s="46">
        <f t="shared" si="15"/>
        <v>-54.779252280912715</v>
      </c>
    </row>
    <row r="60" spans="1:8" ht="14.4" x14ac:dyDescent="0.2">
      <c r="A60" s="36">
        <v>9</v>
      </c>
      <c r="B60" s="37">
        <f>9*MES_BASE_HRS*WEEKS*(1+MES_DIM_PCT)^9</f>
        <v>452.90833186570285</v>
      </c>
      <c r="C60" s="38">
        <f t="shared" si="16"/>
        <v>55.293335440394458</v>
      </c>
      <c r="D60" s="39">
        <f t="shared" si="17"/>
        <v>1919.7846064904954</v>
      </c>
      <c r="E60" s="40">
        <f t="shared" si="12"/>
        <v>880</v>
      </c>
      <c r="F60" s="41">
        <f t="shared" si="13"/>
        <v>2799.7846064904952</v>
      </c>
      <c r="G60" s="42">
        <f t="shared" si="14"/>
        <v>2700</v>
      </c>
      <c r="H60" s="41">
        <f t="shared" si="15"/>
        <v>-99.784606490495207</v>
      </c>
    </row>
    <row r="61" spans="1:8" ht="14.4" x14ac:dyDescent="0.2">
      <c r="A61" s="17">
        <v>10</v>
      </c>
      <c r="B61" s="43">
        <f>10*MES_BASE_HRS*WEEKS*(1+MES_DIM_PCT)^10</f>
        <v>509.52187334891573</v>
      </c>
      <c r="C61" s="35">
        <f t="shared" si="16"/>
        <v>56.613541483212884</v>
      </c>
      <c r="D61" s="44">
        <f t="shared" si="17"/>
        <v>1965.6221602971514</v>
      </c>
      <c r="E61" s="45">
        <f t="shared" si="12"/>
        <v>880</v>
      </c>
      <c r="F61" s="46">
        <f t="shared" si="13"/>
        <v>2845.6221602971514</v>
      </c>
      <c r="G61" s="47">
        <f t="shared" si="14"/>
        <v>2700</v>
      </c>
      <c r="H61" s="46">
        <f t="shared" si="15"/>
        <v>-145.62216029715137</v>
      </c>
    </row>
    <row r="62" spans="1:8" ht="14.4" x14ac:dyDescent="0.2">
      <c r="A62" s="36">
        <v>11</v>
      </c>
      <c r="B62" s="37">
        <f>11*MES_BASE_HRS*WEEKS*(1+MES_DIM_PCT)^11</f>
        <v>567.47998644235474</v>
      </c>
      <c r="C62" s="38">
        <f t="shared" si="16"/>
        <v>57.95811309343901</v>
      </c>
      <c r="D62" s="39">
        <f t="shared" si="17"/>
        <v>2012.3056866042023</v>
      </c>
      <c r="E62" s="40">
        <f t="shared" si="12"/>
        <v>880</v>
      </c>
      <c r="F62" s="41">
        <f t="shared" si="13"/>
        <v>2892.3056866042025</v>
      </c>
      <c r="G62" s="42">
        <f t="shared" si="14"/>
        <v>2700</v>
      </c>
      <c r="H62" s="41">
        <f t="shared" si="15"/>
        <v>-192.30568660420249</v>
      </c>
    </row>
    <row r="63" spans="1:8" ht="14.4" x14ac:dyDescent="0.2">
      <c r="A63" s="17">
        <v>12</v>
      </c>
      <c r="B63" s="43">
        <f>12*MES_BASE_HRS*WEEKS*(1+MES_DIM_PCT)^12</f>
        <v>626.80743957041921</v>
      </c>
      <c r="C63" s="35">
        <f t="shared" si="16"/>
        <v>59.327453128064462</v>
      </c>
      <c r="D63" s="44">
        <f t="shared" si="17"/>
        <v>2059.849172606398</v>
      </c>
      <c r="E63" s="45">
        <f t="shared" si="12"/>
        <v>880</v>
      </c>
      <c r="F63" s="46">
        <f t="shared" si="13"/>
        <v>2939.849172606398</v>
      </c>
      <c r="G63" s="47">
        <f t="shared" si="14"/>
        <v>2700</v>
      </c>
      <c r="H63" s="46">
        <f t="shared" si="15"/>
        <v>-239.84917260639804</v>
      </c>
    </row>
    <row r="64" spans="1:8" ht="14.4" x14ac:dyDescent="0.2">
      <c r="A64" s="36">
        <v>13</v>
      </c>
      <c r="B64" s="37">
        <f>13*MES_BASE_HRS*WEEKS*(1+MES_DIM_PCT)^13</f>
        <v>687.52941027880343</v>
      </c>
      <c r="C64" s="38">
        <f t="shared" si="16"/>
        <v>60.72197070838422</v>
      </c>
      <c r="D64" s="39">
        <f t="shared" si="17"/>
        <v>2108.2668229951</v>
      </c>
      <c r="E64" s="40">
        <f t="shared" si="12"/>
        <v>880</v>
      </c>
      <c r="F64" s="41">
        <f t="shared" si="13"/>
        <v>2988.2668229951</v>
      </c>
      <c r="G64" s="42">
        <f t="shared" si="14"/>
        <v>2700</v>
      </c>
      <c r="H64" s="41">
        <f t="shared" si="15"/>
        <v>-288.26682299510003</v>
      </c>
    </row>
    <row r="65" spans="1:8" ht="14.4" x14ac:dyDescent="0.2">
      <c r="A65" s="17">
        <v>14</v>
      </c>
      <c r="B65" s="43">
        <f>14*MES_BASE_HRS*WEEKS*(1+MES_DIM_PCT)^14</f>
        <v>749.67149159246469</v>
      </c>
      <c r="C65" s="35">
        <f t="shared" si="16"/>
        <v>62.142081313661265</v>
      </c>
      <c r="D65" s="44">
        <f t="shared" si="17"/>
        <v>1642.475969165132</v>
      </c>
      <c r="E65" s="45">
        <f t="shared" si="12"/>
        <v>880</v>
      </c>
      <c r="F65" s="46">
        <f t="shared" si="13"/>
        <v>2522.475969165132</v>
      </c>
      <c r="G65" s="47">
        <f t="shared" si="14"/>
        <v>2700</v>
      </c>
      <c r="H65" s="46">
        <f t="shared" si="15"/>
        <v>177.52403083486797</v>
      </c>
    </row>
    <row r="66" spans="1:8" ht="14.4" x14ac:dyDescent="0.2">
      <c r="A66" s="36">
        <v>15</v>
      </c>
      <c r="B66" s="37">
        <f>15*MES_BASE_HRS*WEEKS*(1+MES_DIM_PCT)^15</f>
        <v>813.25969846861108</v>
      </c>
      <c r="C66" s="38">
        <f t="shared" si="16"/>
        <v>63.588206876146387</v>
      </c>
      <c r="D66" s="39">
        <f t="shared" si="17"/>
        <v>1103.8912713699012</v>
      </c>
      <c r="E66" s="40">
        <f t="shared" si="12"/>
        <v>880</v>
      </c>
      <c r="F66" s="41">
        <f t="shared" si="13"/>
        <v>1983.8912713699012</v>
      </c>
      <c r="G66" s="42">
        <f t="shared" si="14"/>
        <v>2700</v>
      </c>
      <c r="H66" s="41">
        <f t="shared" si="15"/>
        <v>716.10872863009877</v>
      </c>
    </row>
    <row r="67" spans="1:8" ht="14.4" x14ac:dyDescent="0.2">
      <c r="A67" s="17">
        <v>16</v>
      </c>
      <c r="B67" s="43">
        <f>16*MES_BASE_HRS*WEEKS*(1+MES_DIM_PCT)^16</f>
        <v>878.32047434610013</v>
      </c>
      <c r="C67" s="35">
        <f t="shared" si="16"/>
        <v>65.06077587748905</v>
      </c>
      <c r="D67" s="44">
        <f t="shared" si="17"/>
        <v>1129.4550692332098</v>
      </c>
      <c r="E67" s="45">
        <f t="shared" si="12"/>
        <v>880</v>
      </c>
      <c r="F67" s="46">
        <f t="shared" si="13"/>
        <v>2009.4550692332098</v>
      </c>
      <c r="G67" s="47">
        <f t="shared" si="14"/>
        <v>2700</v>
      </c>
      <c r="H67" s="46">
        <f t="shared" si="15"/>
        <v>690.54493076679023</v>
      </c>
    </row>
    <row r="68" spans="1:8" ht="14.4" x14ac:dyDescent="0.2">
      <c r="A68" s="36">
        <v>17</v>
      </c>
      <c r="B68" s="37">
        <f>17*MES_BASE_HRS*WEEKS*(1+MES_DIM_PCT)^17</f>
        <v>944.88069779264049</v>
      </c>
      <c r="C68" s="38">
        <f t="shared" si="16"/>
        <v>66.560223446540363</v>
      </c>
      <c r="D68" s="39">
        <f t="shared" si="17"/>
        <v>1155.4854790319407</v>
      </c>
      <c r="E68" s="40">
        <f t="shared" si="12"/>
        <v>880</v>
      </c>
      <c r="F68" s="41">
        <f t="shared" si="13"/>
        <v>2035.4854790319407</v>
      </c>
      <c r="G68" s="42">
        <f t="shared" si="14"/>
        <v>2700</v>
      </c>
      <c r="H68" s="41">
        <f t="shared" si="15"/>
        <v>664.51452096805929</v>
      </c>
    </row>
    <row r="69" spans="1:8" ht="14.4" x14ac:dyDescent="0.2">
      <c r="A69" s="17">
        <v>18</v>
      </c>
      <c r="B69" s="43">
        <f>18*MES_BASE_HRS*WEEKS*(1+MES_DIM_PCT)^18</f>
        <v>1012.9676892512279</v>
      </c>
      <c r="C69" s="35">
        <f t="shared" si="16"/>
        <v>68.086991458587363</v>
      </c>
      <c r="D69" s="44">
        <f t="shared" si="17"/>
        <v>1181.9901717210766</v>
      </c>
      <c r="E69" s="45">
        <f t="shared" si="12"/>
        <v>880</v>
      </c>
      <c r="F69" s="46">
        <f t="shared" si="13"/>
        <v>2061.9901717210769</v>
      </c>
      <c r="G69" s="47">
        <f t="shared" si="14"/>
        <v>2700</v>
      </c>
      <c r="H69" s="46">
        <f t="shared" si="15"/>
        <v>638.00982827892312</v>
      </c>
    </row>
    <row r="70" spans="1:8" ht="14.4" x14ac:dyDescent="0.2">
      <c r="A70" s="36">
        <v>19</v>
      </c>
      <c r="B70" s="37">
        <f>19*MES_BASE_HRS*WEEKS*(1+MES_DIM_PCT)^19</f>
        <v>1082.6092178872495</v>
      </c>
      <c r="C70" s="38">
        <f t="shared" si="16"/>
        <v>69.64152863602169</v>
      </c>
      <c r="D70" s="39">
        <f t="shared" si="17"/>
        <v>1208.9769371213365</v>
      </c>
      <c r="E70" s="40">
        <f t="shared" si="12"/>
        <v>880</v>
      </c>
      <c r="F70" s="41">
        <f t="shared" si="13"/>
        <v>2088.9769371213365</v>
      </c>
      <c r="G70" s="42">
        <f t="shared" si="14"/>
        <v>2700</v>
      </c>
      <c r="H70" s="41">
        <f t="shared" si="15"/>
        <v>611.0230628786635</v>
      </c>
    </row>
    <row r="71" spans="1:8" ht="14.4" x14ac:dyDescent="0.2">
      <c r="A71" s="17">
        <v>20</v>
      </c>
      <c r="B71" s="43">
        <f>20*MES_BASE_HRS*WEEKS*(1+MES_DIM_PCT)^20</f>
        <v>1153.8335085377266</v>
      </c>
      <c r="C71" s="35">
        <f t="shared" si="16"/>
        <v>71.224290650477087</v>
      </c>
      <c r="D71" s="44">
        <f t="shared" si="17"/>
        <v>1236.4536856922823</v>
      </c>
      <c r="E71" s="45">
        <f t="shared" si="12"/>
        <v>880</v>
      </c>
      <c r="F71" s="46">
        <f t="shared" si="13"/>
        <v>2116.4536856922823</v>
      </c>
      <c r="G71" s="47">
        <f t="shared" si="14"/>
        <v>2700</v>
      </c>
      <c r="H71" s="46">
        <f t="shared" si="15"/>
        <v>583.54631430771769</v>
      </c>
    </row>
    <row r="72" spans="1:8" ht="14.4" x14ac:dyDescent="0.2">
      <c r="A72" s="36">
        <v>21</v>
      </c>
      <c r="B72" s="37">
        <f>21*MES_BASE_HRS*WEEKS*(1+MES_DIM_PCT)^21</f>
        <v>1226.6692487641703</v>
      </c>
      <c r="C72" s="38">
        <f t="shared" si="16"/>
        <v>72.835740226443704</v>
      </c>
      <c r="D72" s="39">
        <f t="shared" si="17"/>
        <v>1264.4284503310625</v>
      </c>
      <c r="E72" s="40">
        <f t="shared" si="12"/>
        <v>880</v>
      </c>
      <c r="F72" s="41">
        <f t="shared" si="13"/>
        <v>2144.4284503310628</v>
      </c>
      <c r="G72" s="42">
        <f t="shared" si="14"/>
        <v>2700</v>
      </c>
      <c r="H72" s="41">
        <f t="shared" si="15"/>
        <v>555.57154966893722</v>
      </c>
    </row>
    <row r="73" spans="1:8" ht="14.4" x14ac:dyDescent="0.2">
      <c r="A73" s="17">
        <v>22</v>
      </c>
      <c r="B73" s="43">
        <f>22*MES_BASE_HRS*WEEKS*(1+MES_DIM_PCT)^22</f>
        <v>1301.1455960105666</v>
      </c>
      <c r="C73" s="35">
        <f t="shared" si="16"/>
        <v>74.476347246396244</v>
      </c>
      <c r="D73" s="44">
        <f t="shared" si="17"/>
        <v>1292.9093881974388</v>
      </c>
      <c r="E73" s="45">
        <f t="shared" si="12"/>
        <v>880</v>
      </c>
      <c r="F73" s="46">
        <f t="shared" si="13"/>
        <v>2172.9093881974386</v>
      </c>
      <c r="G73" s="47">
        <f t="shared" si="14"/>
        <v>2700</v>
      </c>
      <c r="H73" s="46">
        <f t="shared" si="15"/>
        <v>527.0906118025614</v>
      </c>
    </row>
    <row r="74" spans="1:8" ht="14.4" x14ac:dyDescent="0.2">
      <c r="A74" s="36">
        <v>23</v>
      </c>
      <c r="B74" s="37">
        <f>23*MES_BASE_HRS*WEEKS*(1+MES_DIM_PCT)^23</f>
        <v>1377.292184868003</v>
      </c>
      <c r="C74" s="38">
        <f t="shared" si="16"/>
        <v>76.146588857436427</v>
      </c>
      <c r="D74" s="39">
        <f t="shared" si="17"/>
        <v>1321.9047825650964</v>
      </c>
      <c r="E74" s="40">
        <f t="shared" si="12"/>
        <v>880</v>
      </c>
      <c r="F74" s="41">
        <f t="shared" si="13"/>
        <v>2201.9047825650964</v>
      </c>
      <c r="G74" s="42">
        <f t="shared" si="14"/>
        <v>2700</v>
      </c>
      <c r="H74" s="41">
        <f t="shared" si="15"/>
        <v>498.09521743490359</v>
      </c>
    </row>
    <row r="75" spans="1:8" ht="14.4" x14ac:dyDescent="0.2">
      <c r="A75" s="17">
        <v>24</v>
      </c>
      <c r="B75" s="43">
        <f>24*MES_BASE_HRS*WEEKS*(1+MES_DIM_PCT)^24</f>
        <v>1455.1391344474989</v>
      </c>
      <c r="C75" s="35">
        <f t="shared" si="16"/>
        <v>77.846949579495913</v>
      </c>
      <c r="D75" s="44">
        <f t="shared" si="17"/>
        <v>1351.4230447000491</v>
      </c>
      <c r="E75" s="45">
        <f t="shared" si="12"/>
        <v>880</v>
      </c>
      <c r="F75" s="46">
        <f t="shared" si="13"/>
        <v>2231.4230447000491</v>
      </c>
      <c r="G75" s="47">
        <f t="shared" si="14"/>
        <v>2700</v>
      </c>
      <c r="H75" s="46">
        <f t="shared" si="15"/>
        <v>468.5769552999509</v>
      </c>
    </row>
    <row r="76" spans="1:8" ht="14.4" x14ac:dyDescent="0.2">
      <c r="A76" s="36">
        <v>25</v>
      </c>
      <c r="B76" s="37">
        <f>25*MES_BASE_HRS*WEEKS*(1+MES_DIM_PCT)^25</f>
        <v>1534.7170558625965</v>
      </c>
      <c r="C76" s="38">
        <f t="shared" si="16"/>
        <v>79.577921415097535</v>
      </c>
      <c r="D76" s="39">
        <f t="shared" si="17"/>
        <v>1381.4727157660932</v>
      </c>
      <c r="E76" s="40">
        <f t="shared" si="12"/>
        <v>880</v>
      </c>
      <c r="F76" s="41">
        <f t="shared" si="13"/>
        <v>2261.4727157660932</v>
      </c>
      <c r="G76" s="42">
        <f t="shared" si="14"/>
        <v>2700</v>
      </c>
      <c r="H76" s="41">
        <f t="shared" si="15"/>
        <v>438.52728423390681</v>
      </c>
    </row>
    <row r="77" spans="1:8" ht="14.4" x14ac:dyDescent="0.2">
      <c r="A77" s="17">
        <v>26</v>
      </c>
      <c r="B77" s="43">
        <f>26*MES_BASE_HRS*WEEKS*(1+MES_DIM_PCT)^26</f>
        <v>1616.0570598233144</v>
      </c>
      <c r="C77" s="35">
        <f t="shared" si="16"/>
        <v>81.340003960717922</v>
      </c>
      <c r="D77" s="44">
        <f t="shared" si="17"/>
        <v>1412.062468758063</v>
      </c>
      <c r="E77" s="45">
        <f t="shared" si="12"/>
        <v>880</v>
      </c>
      <c r="F77" s="46">
        <f t="shared" si="13"/>
        <v>2292.062468758063</v>
      </c>
      <c r="G77" s="47">
        <f t="shared" si="14"/>
        <v>2700</v>
      </c>
      <c r="H77" s="46">
        <f t="shared" si="15"/>
        <v>407.93753124193699</v>
      </c>
    </row>
    <row r="78" spans="1:8" ht="14.4" x14ac:dyDescent="0.2">
      <c r="A78" s="36">
        <v>27</v>
      </c>
      <c r="B78" s="37">
        <f>27*MES_BASE_HRS*WEEKS*(1+MES_DIM_PCT)^27</f>
        <v>1699.1907643430709</v>
      </c>
      <c r="C78" s="38">
        <f t="shared" si="16"/>
        <v>83.13370451975652</v>
      </c>
      <c r="D78" s="39">
        <f t="shared" si="17"/>
        <v>1443.2011104629732</v>
      </c>
      <c r="E78" s="40">
        <f t="shared" si="12"/>
        <v>880</v>
      </c>
      <c r="F78" s="41">
        <f t="shared" si="13"/>
        <v>2323.2011104629732</v>
      </c>
      <c r="G78" s="42">
        <f t="shared" si="14"/>
        <v>2700</v>
      </c>
      <c r="H78" s="41">
        <f t="shared" si="15"/>
        <v>376.79888953702675</v>
      </c>
    </row>
    <row r="79" spans="1:8" ht="14.4" x14ac:dyDescent="0.2">
      <c r="A79" s="17">
        <v>28</v>
      </c>
      <c r="B79" s="43">
        <f>28*MES_BASE_HRS*WEEKS*(1+MES_DIM_PCT)^28</f>
        <v>1784.1503025602246</v>
      </c>
      <c r="C79" s="35">
        <f t="shared" si="16"/>
        <v>84.959538217153749</v>
      </c>
      <c r="D79" s="44">
        <f t="shared" si="17"/>
        <v>1474.897583449789</v>
      </c>
      <c r="E79" s="45">
        <f t="shared" si="12"/>
        <v>880</v>
      </c>
      <c r="F79" s="46">
        <f t="shared" si="13"/>
        <v>2354.8975834497887</v>
      </c>
      <c r="G79" s="47">
        <f t="shared" si="14"/>
        <v>2700</v>
      </c>
      <c r="H79" s="46">
        <f t="shared" si="15"/>
        <v>345.10241655021127</v>
      </c>
    </row>
    <row r="80" spans="1:8" ht="14.4" x14ac:dyDescent="0.2">
      <c r="A80" s="36">
        <v>29</v>
      </c>
      <c r="B80" s="37">
        <f>29*MES_BASE_HRS*WEEKS*(1+MES_DIM_PCT)^29</f>
        <v>1870.9683306758782</v>
      </c>
      <c r="C80" s="38">
        <f t="shared" si="16"/>
        <v>86.818028115653533</v>
      </c>
      <c r="D80" s="39">
        <f t="shared" si="17"/>
        <v>1507.1609680877452</v>
      </c>
      <c r="E80" s="40">
        <f t="shared" si="12"/>
        <v>880</v>
      </c>
      <c r="F80" s="41">
        <f t="shared" si="13"/>
        <v>2387.1609680877455</v>
      </c>
      <c r="G80" s="42">
        <f t="shared" si="14"/>
        <v>2700</v>
      </c>
      <c r="H80" s="41">
        <f t="shared" si="15"/>
        <v>312.83903191225454</v>
      </c>
    </row>
    <row r="81" spans="1:8" ht="14.4" x14ac:dyDescent="0.2">
      <c r="A81" s="17">
        <v>30</v>
      </c>
      <c r="B81" s="43">
        <f>30*MES_BASE_HRS*WEEKS*(1+MES_DIM_PCT)^30</f>
        <v>1959.6780360096488</v>
      </c>
      <c r="C81" s="35">
        <f t="shared" si="16"/>
        <v>88.709705333770671</v>
      </c>
      <c r="D81" s="44">
        <f t="shared" si="17"/>
        <v>1540.0004845942588</v>
      </c>
      <c r="E81" s="45">
        <f t="shared" si="12"/>
        <v>880</v>
      </c>
      <c r="F81" s="46">
        <f t="shared" si="13"/>
        <v>2420.0004845942585</v>
      </c>
      <c r="G81" s="47">
        <f t="shared" si="14"/>
        <v>2700</v>
      </c>
      <c r="H81" s="46">
        <f t="shared" si="15"/>
        <v>279.99951540574148</v>
      </c>
    </row>
  </sheetData>
  <mergeCells count="5">
    <mergeCell ref="A50:H50"/>
    <mergeCell ref="A4:H4"/>
    <mergeCell ref="A1:G1"/>
    <mergeCell ref="A2:G2"/>
    <mergeCell ref="A27:H27"/>
  </mergeCells>
  <phoneticPr fontId="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6F9D-B64E-4BAB-B04C-3FC3E3FB6015}">
  <dimension ref="A1:D80"/>
  <sheetViews>
    <sheetView topLeftCell="B4" workbookViewId="0">
      <selection activeCell="R55" sqref="R55"/>
    </sheetView>
  </sheetViews>
  <sheetFormatPr defaultRowHeight="13.2" x14ac:dyDescent="0.2"/>
  <sheetData>
    <row r="1" spans="1:4" x14ac:dyDescent="0.2">
      <c r="A1" t="s">
        <v>139</v>
      </c>
    </row>
    <row r="2" spans="1:4" x14ac:dyDescent="0.2">
      <c r="A2" t="s">
        <v>140</v>
      </c>
      <c r="B2" t="s">
        <v>145</v>
      </c>
      <c r="C2" t="s">
        <v>146</v>
      </c>
      <c r="D2" t="s">
        <v>147</v>
      </c>
    </row>
    <row r="3" spans="1:4" x14ac:dyDescent="0.2">
      <c r="A3">
        <v>1</v>
      </c>
      <c r="B3">
        <v>4317.2800000000007</v>
      </c>
      <c r="C3">
        <v>8800</v>
      </c>
      <c r="D3">
        <v>4482.7199999999993</v>
      </c>
    </row>
    <row r="4" spans="1:4" x14ac:dyDescent="0.2">
      <c r="A4">
        <v>2</v>
      </c>
      <c r="B4">
        <v>5004.7360000000008</v>
      </c>
      <c r="C4">
        <v>8800</v>
      </c>
      <c r="D4">
        <v>3795.2639999999992</v>
      </c>
    </row>
    <row r="5" spans="1:4" x14ac:dyDescent="0.2">
      <c r="A5">
        <v>3</v>
      </c>
      <c r="B5">
        <v>5795.3104000000021</v>
      </c>
      <c r="C5">
        <v>8800</v>
      </c>
      <c r="D5">
        <v>3004.6895999999979</v>
      </c>
    </row>
    <row r="6" spans="1:4" x14ac:dyDescent="0.2">
      <c r="A6">
        <v>4</v>
      </c>
      <c r="B6">
        <v>6702.7523200000005</v>
      </c>
      <c r="C6">
        <v>8800</v>
      </c>
      <c r="D6">
        <v>2097.2476799999995</v>
      </c>
    </row>
    <row r="7" spans="1:4" x14ac:dyDescent="0.2">
      <c r="A7">
        <v>5</v>
      </c>
      <c r="B7">
        <v>7660.4253999999992</v>
      </c>
      <c r="C7">
        <v>8800</v>
      </c>
      <c r="D7">
        <v>1139.5746000000008</v>
      </c>
    </row>
    <row r="8" spans="1:4" x14ac:dyDescent="0.2">
      <c r="A8">
        <v>6</v>
      </c>
      <c r="B8">
        <v>4906.0173184000023</v>
      </c>
      <c r="C8">
        <v>8800</v>
      </c>
      <c r="D8">
        <v>3893.9826815999977</v>
      </c>
    </row>
    <row r="9" spans="1:4" x14ac:dyDescent="0.2">
      <c r="A9">
        <v>7</v>
      </c>
      <c r="B9">
        <v>5585.4077408800049</v>
      </c>
      <c r="C9">
        <v>8800</v>
      </c>
      <c r="D9">
        <v>3214.5922591199951</v>
      </c>
    </row>
    <row r="10" spans="1:4" x14ac:dyDescent="0.2">
      <c r="A10">
        <v>8</v>
      </c>
      <c r="B10">
        <v>6360.4160746720036</v>
      </c>
      <c r="C10">
        <v>8800</v>
      </c>
      <c r="D10">
        <v>2439.5839253279964</v>
      </c>
    </row>
    <row r="11" spans="1:4" x14ac:dyDescent="0.2">
      <c r="A11">
        <v>9</v>
      </c>
      <c r="B11">
        <v>7243.3719978136041</v>
      </c>
      <c r="C11">
        <v>8800</v>
      </c>
      <c r="D11">
        <v>1556.6280021863959</v>
      </c>
    </row>
    <row r="12" spans="1:4" x14ac:dyDescent="0.2">
      <c r="A12">
        <v>10</v>
      </c>
      <c r="B12">
        <v>8248.1149448368124</v>
      </c>
      <c r="C12">
        <v>8800</v>
      </c>
      <c r="D12">
        <v>551.88505516318764</v>
      </c>
    </row>
    <row r="13" spans="1:4" x14ac:dyDescent="0.2">
      <c r="A13">
        <v>11</v>
      </c>
      <c r="B13">
        <v>9390.1727612865125</v>
      </c>
      <c r="C13">
        <v>8800</v>
      </c>
      <c r="D13">
        <v>-590.17276128651247</v>
      </c>
    </row>
    <row r="14" spans="1:4" x14ac:dyDescent="0.2">
      <c r="A14">
        <v>12</v>
      </c>
      <c r="B14">
        <v>10686.960991577791</v>
      </c>
      <c r="C14">
        <v>8800</v>
      </c>
      <c r="D14">
        <v>-1886.960991577791</v>
      </c>
    </row>
    <row r="15" spans="1:4" x14ac:dyDescent="0.2">
      <c r="A15">
        <v>13</v>
      </c>
      <c r="B15">
        <v>12158.005140314455</v>
      </c>
      <c r="C15">
        <v>8800</v>
      </c>
      <c r="D15">
        <v>-3358.0051403144553</v>
      </c>
    </row>
    <row r="16" spans="1:4" x14ac:dyDescent="0.2">
      <c r="A16">
        <v>14</v>
      </c>
      <c r="B16">
        <v>13825.188508882693</v>
      </c>
      <c r="C16">
        <v>8800</v>
      </c>
      <c r="D16">
        <v>-5025.188508882693</v>
      </c>
    </row>
    <row r="17" spans="1:4" x14ac:dyDescent="0.2">
      <c r="A17">
        <v>15</v>
      </c>
      <c r="B17">
        <v>15713.028499761418</v>
      </c>
      <c r="C17">
        <v>8800</v>
      </c>
      <c r="D17">
        <v>-6913.0284997614181</v>
      </c>
    </row>
    <row r="18" spans="1:4" x14ac:dyDescent="0.2">
      <c r="A18">
        <v>16</v>
      </c>
      <c r="B18">
        <v>17848.984603727044</v>
      </c>
      <c r="C18">
        <v>8800</v>
      </c>
      <c r="D18">
        <v>-9048.9846037270436</v>
      </c>
    </row>
    <row r="19" spans="1:4" x14ac:dyDescent="0.2">
      <c r="A19">
        <v>17</v>
      </c>
      <c r="B19">
        <v>20263.801643488219</v>
      </c>
      <c r="C19">
        <v>8800</v>
      </c>
      <c r="D19">
        <v>-11463.801643488219</v>
      </c>
    </row>
    <row r="20" spans="1:4" x14ac:dyDescent="0.2">
      <c r="A20">
        <v>18</v>
      </c>
      <c r="B20">
        <v>22991.892245164319</v>
      </c>
      <c r="C20">
        <v>8800</v>
      </c>
      <c r="D20">
        <v>-14191.892245164319</v>
      </c>
    </row>
    <row r="21" spans="1:4" x14ac:dyDescent="0.2">
      <c r="A21">
        <v>19</v>
      </c>
      <c r="B21">
        <v>26071.762950740856</v>
      </c>
      <c r="C21">
        <v>8800</v>
      </c>
      <c r="D21">
        <v>-17271.762950740856</v>
      </c>
    </row>
    <row r="22" spans="1:4" x14ac:dyDescent="0.2">
      <c r="A22">
        <v>20</v>
      </c>
      <c r="B22">
        <v>29546.488874980882</v>
      </c>
      <c r="C22">
        <v>8800</v>
      </c>
      <c r="D22">
        <v>-20746.488874980882</v>
      </c>
    </row>
    <row r="25" spans="1:4" x14ac:dyDescent="0.2">
      <c r="A25" t="s">
        <v>148</v>
      </c>
    </row>
    <row r="26" spans="1:4" x14ac:dyDescent="0.2">
      <c r="A26" t="s">
        <v>140</v>
      </c>
      <c r="B26" t="s">
        <v>145</v>
      </c>
      <c r="C26" t="s">
        <v>146</v>
      </c>
      <c r="D26" t="s">
        <v>147</v>
      </c>
    </row>
    <row r="27" spans="1:4" x14ac:dyDescent="0.2">
      <c r="A27">
        <v>1</v>
      </c>
      <c r="B27">
        <v>1507.2129439999999</v>
      </c>
      <c r="C27">
        <v>2094</v>
      </c>
      <c r="D27">
        <v>586.78705600000012</v>
      </c>
    </row>
    <row r="28" spans="1:4" x14ac:dyDescent="0.2">
      <c r="A28">
        <v>2</v>
      </c>
      <c r="B28">
        <v>1560.5735911999998</v>
      </c>
      <c r="C28">
        <v>2094</v>
      </c>
      <c r="D28">
        <v>533.42640880000022</v>
      </c>
    </row>
    <row r="29" spans="1:4" x14ac:dyDescent="0.2">
      <c r="A29">
        <v>3</v>
      </c>
      <c r="B29">
        <v>1615.9352626699995</v>
      </c>
      <c r="C29">
        <v>2094</v>
      </c>
      <c r="D29">
        <v>478.06473733000053</v>
      </c>
    </row>
    <row r="30" spans="1:4" x14ac:dyDescent="0.2">
      <c r="A30">
        <v>4</v>
      </c>
      <c r="B30">
        <v>1673.364659219</v>
      </c>
      <c r="C30">
        <v>2094</v>
      </c>
      <c r="D30">
        <v>420.63534078099997</v>
      </c>
    </row>
    <row r="31" spans="1:4" x14ac:dyDescent="0.2">
      <c r="A31">
        <v>5</v>
      </c>
      <c r="B31">
        <v>1732.9305660562802</v>
      </c>
      <c r="C31">
        <v>2094</v>
      </c>
      <c r="D31">
        <v>361.06943394371979</v>
      </c>
    </row>
    <row r="32" spans="1:4" x14ac:dyDescent="0.2">
      <c r="A32">
        <v>6</v>
      </c>
      <c r="B32">
        <v>1794.7039153234123</v>
      </c>
      <c r="C32">
        <v>2094</v>
      </c>
      <c r="D32">
        <v>299.29608467658772</v>
      </c>
    </row>
    <row r="33" spans="1:4" x14ac:dyDescent="0.2">
      <c r="A33">
        <v>7</v>
      </c>
      <c r="B33">
        <v>1858.7578504501203</v>
      </c>
      <c r="C33">
        <v>2094</v>
      </c>
      <c r="D33">
        <v>235.24214954987974</v>
      </c>
    </row>
    <row r="34" spans="1:4" x14ac:dyDescent="0.2">
      <c r="A34">
        <v>8</v>
      </c>
      <c r="B34">
        <v>1925.1677923860811</v>
      </c>
      <c r="C34">
        <v>2094</v>
      </c>
      <c r="D34">
        <v>168.83220761391885</v>
      </c>
    </row>
    <row r="35" spans="1:4" x14ac:dyDescent="0.2">
      <c r="A35">
        <v>9</v>
      </c>
      <c r="B35">
        <v>1994.0115077623109</v>
      </c>
      <c r="C35">
        <v>2094</v>
      </c>
      <c r="D35">
        <v>99.988492237689115</v>
      </c>
    </row>
    <row r="36" spans="1:4" x14ac:dyDescent="0.2">
      <c r="A36">
        <v>10</v>
      </c>
      <c r="B36">
        <v>2065.3691790371117</v>
      </c>
      <c r="C36">
        <v>2094</v>
      </c>
      <c r="D36">
        <v>28.630820962888265</v>
      </c>
    </row>
    <row r="37" spans="1:4" x14ac:dyDescent="0.2">
      <c r="A37">
        <v>11</v>
      </c>
      <c r="B37">
        <v>2139.3234766832988</v>
      </c>
      <c r="C37">
        <v>2094</v>
      </c>
      <c r="D37">
        <v>-45.32347668329885</v>
      </c>
    </row>
    <row r="38" spans="1:4" x14ac:dyDescent="0.2">
      <c r="A38">
        <v>12</v>
      </c>
      <c r="B38">
        <v>2215.9596334748962</v>
      </c>
      <c r="C38">
        <v>2094</v>
      </c>
      <c r="D38">
        <v>-121.95963347489624</v>
      </c>
    </row>
    <row r="39" spans="1:4" x14ac:dyDescent="0.2">
      <c r="A39">
        <v>13</v>
      </c>
      <c r="B39">
        <v>2295.3655209331537</v>
      </c>
      <c r="C39">
        <v>2094</v>
      </c>
      <c r="D39">
        <v>-201.36552093315368</v>
      </c>
    </row>
    <row r="40" spans="1:4" x14ac:dyDescent="0.2">
      <c r="A40">
        <v>14</v>
      </c>
      <c r="B40">
        <v>2377.6317279933955</v>
      </c>
      <c r="C40">
        <v>2094</v>
      </c>
      <c r="D40">
        <v>-283.63172799339554</v>
      </c>
    </row>
    <row r="41" spans="1:4" x14ac:dyDescent="0.2">
      <c r="A41">
        <v>15</v>
      </c>
      <c r="B41">
        <v>2462.8516419560688</v>
      </c>
      <c r="C41">
        <v>2094</v>
      </c>
      <c r="D41">
        <v>-368.85164195606876</v>
      </c>
    </row>
    <row r="42" spans="1:4" x14ac:dyDescent="0.2">
      <c r="A42">
        <v>16</v>
      </c>
      <c r="B42">
        <v>2551.1215317868773</v>
      </c>
      <c r="C42">
        <v>2094</v>
      </c>
      <c r="D42">
        <v>-457.12153178687731</v>
      </c>
    </row>
    <row r="43" spans="1:4" x14ac:dyDescent="0.2">
      <c r="A43">
        <v>17</v>
      </c>
      <c r="B43">
        <v>1675.3299164504992</v>
      </c>
      <c r="C43">
        <v>2094</v>
      </c>
      <c r="D43">
        <v>418.67008354950076</v>
      </c>
    </row>
    <row r="44" spans="1:4" x14ac:dyDescent="0.2">
      <c r="A44">
        <v>18</v>
      </c>
      <c r="B44">
        <v>1588.6056200120372</v>
      </c>
      <c r="C44">
        <v>2094</v>
      </c>
      <c r="D44">
        <v>505.39437998796279</v>
      </c>
    </row>
    <row r="45" spans="1:4" x14ac:dyDescent="0.2">
      <c r="A45">
        <v>19</v>
      </c>
      <c r="B45">
        <v>1637.6193943142762</v>
      </c>
      <c r="C45">
        <v>2094</v>
      </c>
      <c r="D45">
        <v>456.38060568572382</v>
      </c>
    </row>
    <row r="46" spans="1:4" x14ac:dyDescent="0.2">
      <c r="A46">
        <v>20</v>
      </c>
      <c r="B46">
        <v>1688.3659788191148</v>
      </c>
      <c r="C46">
        <v>2094</v>
      </c>
      <c r="D46">
        <v>405.63402118088516</v>
      </c>
    </row>
    <row r="49" spans="1:4" x14ac:dyDescent="0.2">
      <c r="A49" t="s">
        <v>149</v>
      </c>
    </row>
    <row r="50" spans="1:4" x14ac:dyDescent="0.2">
      <c r="A50" t="s">
        <v>140</v>
      </c>
      <c r="B50" t="s">
        <v>145</v>
      </c>
      <c r="C50" t="s">
        <v>146</v>
      </c>
      <c r="D50" t="s">
        <v>147</v>
      </c>
    </row>
    <row r="51" spans="1:4" x14ac:dyDescent="0.2">
      <c r="A51">
        <v>1</v>
      </c>
      <c r="B51">
        <v>2461.9299999999998</v>
      </c>
      <c r="C51">
        <v>2700</v>
      </c>
      <c r="D51">
        <v>238.07000000000016</v>
      </c>
    </row>
    <row r="52" spans="1:4" x14ac:dyDescent="0.2">
      <c r="A52">
        <v>2</v>
      </c>
      <c r="B52">
        <v>2501.4782499999997</v>
      </c>
      <c r="C52">
        <v>2700</v>
      </c>
      <c r="D52">
        <v>198.52175000000034</v>
      </c>
    </row>
    <row r="53" spans="1:4" x14ac:dyDescent="0.2">
      <c r="A53">
        <v>3</v>
      </c>
      <c r="B53">
        <v>2541.7680296874996</v>
      </c>
      <c r="C53">
        <v>2700</v>
      </c>
      <c r="D53">
        <v>158.23197031250038</v>
      </c>
    </row>
    <row r="54" spans="1:4" x14ac:dyDescent="0.2">
      <c r="A54">
        <v>4</v>
      </c>
      <c r="B54">
        <v>2582.8116978906255</v>
      </c>
      <c r="C54">
        <v>2700</v>
      </c>
      <c r="D54">
        <v>117.18830210937449</v>
      </c>
    </row>
    <row r="55" spans="1:4" x14ac:dyDescent="0.2">
      <c r="A55">
        <v>5</v>
      </c>
      <c r="B55">
        <v>2624.6218065441876</v>
      </c>
      <c r="C55">
        <v>2700</v>
      </c>
      <c r="D55">
        <v>75.378193455812379</v>
      </c>
    </row>
    <row r="56" spans="1:4" x14ac:dyDescent="0.2">
      <c r="A56">
        <v>6</v>
      </c>
      <c r="B56">
        <v>2667.211103586299</v>
      </c>
      <c r="C56">
        <v>2700</v>
      </c>
      <c r="D56">
        <v>32.788896413700968</v>
      </c>
    </row>
    <row r="57" spans="1:4" x14ac:dyDescent="0.2">
      <c r="A57">
        <v>7</v>
      </c>
      <c r="B57">
        <v>2710.5925358971826</v>
      </c>
      <c r="C57">
        <v>2700</v>
      </c>
      <c r="D57">
        <v>-10.592535897182643</v>
      </c>
    </row>
    <row r="58" spans="1:4" x14ac:dyDescent="0.2">
      <c r="A58">
        <v>8</v>
      </c>
      <c r="B58">
        <v>2754.7792522809127</v>
      </c>
      <c r="C58">
        <v>2700</v>
      </c>
      <c r="D58">
        <v>-54.779252280912715</v>
      </c>
    </row>
    <row r="59" spans="1:4" x14ac:dyDescent="0.2">
      <c r="A59">
        <v>9</v>
      </c>
      <c r="B59">
        <v>2799.7846064904952</v>
      </c>
      <c r="C59">
        <v>2700</v>
      </c>
      <c r="D59">
        <v>-99.784606490495207</v>
      </c>
    </row>
    <row r="60" spans="1:4" x14ac:dyDescent="0.2">
      <c r="A60">
        <v>10</v>
      </c>
      <c r="B60">
        <v>2845.6221602971514</v>
      </c>
      <c r="C60">
        <v>2700</v>
      </c>
      <c r="D60">
        <v>-145.62216029715137</v>
      </c>
    </row>
    <row r="61" spans="1:4" x14ac:dyDescent="0.2">
      <c r="A61">
        <v>11</v>
      </c>
      <c r="B61">
        <v>2892.3056866042025</v>
      </c>
      <c r="C61">
        <v>2700</v>
      </c>
      <c r="D61">
        <v>-192.30568660420249</v>
      </c>
    </row>
    <row r="62" spans="1:4" x14ac:dyDescent="0.2">
      <c r="A62">
        <v>12</v>
      </c>
      <c r="B62">
        <v>2939.849172606398</v>
      </c>
      <c r="C62">
        <v>2700</v>
      </c>
      <c r="D62">
        <v>-239.84917260639804</v>
      </c>
    </row>
    <row r="63" spans="1:4" x14ac:dyDescent="0.2">
      <c r="A63">
        <v>13</v>
      </c>
      <c r="B63">
        <v>2988.2668229951</v>
      </c>
      <c r="C63">
        <v>2700</v>
      </c>
      <c r="D63">
        <v>-288.26682299510003</v>
      </c>
    </row>
    <row r="64" spans="1:4" x14ac:dyDescent="0.2">
      <c r="A64">
        <v>14</v>
      </c>
      <c r="B64">
        <v>2522.475969165132</v>
      </c>
      <c r="C64">
        <v>2700</v>
      </c>
      <c r="D64">
        <v>177.52403083486797</v>
      </c>
    </row>
    <row r="65" spans="1:4" x14ac:dyDescent="0.2">
      <c r="A65">
        <v>15</v>
      </c>
      <c r="B65">
        <v>1983.8912713699012</v>
      </c>
      <c r="C65">
        <v>2700</v>
      </c>
      <c r="D65">
        <v>716.10872863009877</v>
      </c>
    </row>
    <row r="66" spans="1:4" x14ac:dyDescent="0.2">
      <c r="A66">
        <v>16</v>
      </c>
      <c r="B66">
        <v>2009.4550692332098</v>
      </c>
      <c r="C66">
        <v>2700</v>
      </c>
      <c r="D66">
        <v>690.54493076679023</v>
      </c>
    </row>
    <row r="67" spans="1:4" x14ac:dyDescent="0.2">
      <c r="A67">
        <v>17</v>
      </c>
      <c r="B67">
        <v>2035.4854790319407</v>
      </c>
      <c r="C67">
        <v>2700</v>
      </c>
      <c r="D67">
        <v>664.51452096805929</v>
      </c>
    </row>
    <row r="68" spans="1:4" x14ac:dyDescent="0.2">
      <c r="A68">
        <v>18</v>
      </c>
      <c r="B68">
        <v>2061.9901717210769</v>
      </c>
      <c r="C68">
        <v>2700</v>
      </c>
      <c r="D68">
        <v>638.00982827892312</v>
      </c>
    </row>
    <row r="69" spans="1:4" x14ac:dyDescent="0.2">
      <c r="A69">
        <v>19</v>
      </c>
      <c r="B69">
        <v>2088.9769371213365</v>
      </c>
      <c r="C69">
        <v>2700</v>
      </c>
      <c r="D69">
        <v>611.0230628786635</v>
      </c>
    </row>
    <row r="70" spans="1:4" x14ac:dyDescent="0.2">
      <c r="A70">
        <v>20</v>
      </c>
      <c r="B70">
        <v>2116.4536856922823</v>
      </c>
      <c r="C70">
        <v>2700</v>
      </c>
      <c r="D70">
        <v>583.54631430771769</v>
      </c>
    </row>
    <row r="71" spans="1:4" x14ac:dyDescent="0.2">
      <c r="A71">
        <v>21</v>
      </c>
      <c r="B71">
        <v>2144.4284503310628</v>
      </c>
      <c r="C71">
        <v>2700</v>
      </c>
      <c r="D71">
        <v>555.57154966893722</v>
      </c>
    </row>
    <row r="72" spans="1:4" x14ac:dyDescent="0.2">
      <c r="A72">
        <v>22</v>
      </c>
      <c r="B72">
        <v>2172.9093881974386</v>
      </c>
      <c r="C72">
        <v>2700</v>
      </c>
      <c r="D72">
        <v>527.0906118025614</v>
      </c>
    </row>
    <row r="73" spans="1:4" x14ac:dyDescent="0.2">
      <c r="A73">
        <v>23</v>
      </c>
      <c r="B73">
        <v>2201.9047825650964</v>
      </c>
      <c r="C73">
        <v>2700</v>
      </c>
      <c r="D73">
        <v>498.09521743490359</v>
      </c>
    </row>
    <row r="74" spans="1:4" x14ac:dyDescent="0.2">
      <c r="A74">
        <v>24</v>
      </c>
      <c r="B74">
        <v>2231.4230447000491</v>
      </c>
      <c r="C74">
        <v>2700</v>
      </c>
      <c r="D74">
        <v>468.5769552999509</v>
      </c>
    </row>
    <row r="75" spans="1:4" x14ac:dyDescent="0.2">
      <c r="A75">
        <v>25</v>
      </c>
      <c r="B75">
        <v>2261.4727157660932</v>
      </c>
      <c r="C75">
        <v>2700</v>
      </c>
      <c r="D75">
        <v>438.52728423390681</v>
      </c>
    </row>
    <row r="76" spans="1:4" x14ac:dyDescent="0.2">
      <c r="A76">
        <v>26</v>
      </c>
      <c r="B76">
        <v>2292.062468758063</v>
      </c>
      <c r="C76">
        <v>2700</v>
      </c>
      <c r="D76">
        <v>407.93753124193699</v>
      </c>
    </row>
    <row r="77" spans="1:4" x14ac:dyDescent="0.2">
      <c r="A77">
        <v>27</v>
      </c>
      <c r="B77">
        <v>2323.2011104629732</v>
      </c>
      <c r="C77">
        <v>2700</v>
      </c>
      <c r="D77">
        <v>376.79888953702675</v>
      </c>
    </row>
    <row r="78" spans="1:4" x14ac:dyDescent="0.2">
      <c r="A78">
        <v>28</v>
      </c>
      <c r="B78">
        <v>2354.8975834497887</v>
      </c>
      <c r="C78">
        <v>2700</v>
      </c>
      <c r="D78">
        <v>345.10241655021127</v>
      </c>
    </row>
    <row r="79" spans="1:4" x14ac:dyDescent="0.2">
      <c r="A79">
        <v>29</v>
      </c>
      <c r="B79">
        <v>2387.1609680877455</v>
      </c>
      <c r="C79">
        <v>2700</v>
      </c>
      <c r="D79">
        <v>312.83903191225454</v>
      </c>
    </row>
    <row r="80" spans="1:4" x14ac:dyDescent="0.2">
      <c r="A80">
        <v>30</v>
      </c>
      <c r="B80">
        <v>2420.0004845942585</v>
      </c>
      <c r="C80">
        <v>2700</v>
      </c>
      <c r="D80">
        <v>279.99951540574148</v>
      </c>
    </row>
  </sheetData>
  <phoneticPr fontId="7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"/>
  <sheetViews>
    <sheetView workbookViewId="0">
      <selection activeCell="E20" sqref="E20"/>
    </sheetView>
  </sheetViews>
  <sheetFormatPr defaultRowHeight="13.2" x14ac:dyDescent="0.2"/>
  <cols>
    <col min="1" max="1" width="10" customWidth="1"/>
    <col min="2" max="2" width="38" customWidth="1"/>
    <col min="3" max="4" width="20" customWidth="1"/>
    <col min="5" max="5" width="12" customWidth="1"/>
    <col min="6" max="6" width="40" customWidth="1"/>
    <col min="7" max="7" width="12" customWidth="1"/>
  </cols>
  <sheetData>
    <row r="1" spans="1:7" ht="21" x14ac:dyDescent="0.4">
      <c r="A1" s="54" t="s">
        <v>150</v>
      </c>
      <c r="B1" s="55"/>
      <c r="C1" s="55"/>
      <c r="D1" s="55"/>
      <c r="E1" s="55"/>
      <c r="F1" s="55"/>
      <c r="G1" s="55"/>
    </row>
    <row r="2" spans="1:7" ht="14.4" x14ac:dyDescent="0.3">
      <c r="A2" s="58" t="s">
        <v>151</v>
      </c>
      <c r="B2" s="55"/>
      <c r="C2" s="55"/>
      <c r="D2" s="55"/>
      <c r="E2" s="55"/>
      <c r="F2" s="55"/>
      <c r="G2" s="55"/>
    </row>
    <row r="4" spans="1:7" ht="15.6" x14ac:dyDescent="0.3">
      <c r="A4" s="56" t="s">
        <v>152</v>
      </c>
      <c r="B4" s="55"/>
      <c r="C4" s="55"/>
      <c r="D4" s="55"/>
      <c r="E4" s="55"/>
      <c r="F4" s="55"/>
      <c r="G4" s="55"/>
    </row>
    <row r="5" spans="1:7" ht="14.4" x14ac:dyDescent="0.2">
      <c r="A5" s="1" t="s">
        <v>153</v>
      </c>
      <c r="B5" s="1" t="s">
        <v>154</v>
      </c>
      <c r="C5" s="1" t="s">
        <v>155</v>
      </c>
      <c r="D5" s="1" t="s">
        <v>156</v>
      </c>
      <c r="E5" s="1" t="s">
        <v>130</v>
      </c>
      <c r="F5" s="1" t="s">
        <v>157</v>
      </c>
    </row>
    <row r="6" spans="1:7" ht="14.4" x14ac:dyDescent="0.2">
      <c r="A6" s="17">
        <v>1</v>
      </c>
      <c r="B6" s="2" t="s">
        <v>158</v>
      </c>
      <c r="C6" s="48" t="s">
        <v>159</v>
      </c>
      <c r="D6" s="49">
        <f>'Marginal Cost Schedules'!B6</f>
        <v>99.000000000000014</v>
      </c>
      <c r="E6" s="33" t="str">
        <f>IF(ABS(D6-99)&lt;=0.5, "PASS", "FAIL")</f>
        <v>PASS</v>
      </c>
      <c r="F6" s="2" t="s">
        <v>160</v>
      </c>
    </row>
    <row r="7" spans="1:7" ht="14.4" x14ac:dyDescent="0.2">
      <c r="A7" s="36">
        <v>2</v>
      </c>
      <c r="B7" s="5" t="s">
        <v>161</v>
      </c>
      <c r="C7" s="50" t="s">
        <v>162</v>
      </c>
      <c r="D7" s="51">
        <f>BEDS_TOMATO</f>
        <v>10</v>
      </c>
      <c r="E7" s="52" t="str">
        <f>IF(D7=10, "PASS", "FAIL")</f>
        <v>PASS</v>
      </c>
      <c r="F7" s="5" t="s">
        <v>163</v>
      </c>
    </row>
    <row r="8" spans="1:7" ht="14.4" x14ac:dyDescent="0.2">
      <c r="A8" s="17">
        <v>3</v>
      </c>
      <c r="B8" s="2" t="s">
        <v>164</v>
      </c>
      <c r="C8" s="48" t="s">
        <v>165</v>
      </c>
      <c r="D8" s="32">
        <f>BEDS_CARROT</f>
        <v>20</v>
      </c>
      <c r="E8" s="33" t="str">
        <f>IF(D8=20, "PASS", "FAIL")</f>
        <v>PASS</v>
      </c>
      <c r="F8" s="2" t="s">
        <v>163</v>
      </c>
    </row>
    <row r="9" spans="1:7" ht="14.4" x14ac:dyDescent="0.2">
      <c r="A9" s="36">
        <v>4</v>
      </c>
      <c r="B9" s="5" t="s">
        <v>166</v>
      </c>
      <c r="C9" s="50" t="s">
        <v>167</v>
      </c>
      <c r="D9" s="51">
        <f>BEDS_MESCLUN</f>
        <v>30</v>
      </c>
      <c r="E9" s="52" t="str">
        <f>IF(D9=30, "PASS", "FAIL")</f>
        <v>PASS</v>
      </c>
      <c r="F9" s="5" t="s">
        <v>163</v>
      </c>
    </row>
    <row r="10" spans="1:7" ht="14.4" x14ac:dyDescent="0.2">
      <c r="A10" s="17">
        <v>5</v>
      </c>
      <c r="B10" s="2" t="s">
        <v>74</v>
      </c>
      <c r="C10" s="48" t="s">
        <v>168</v>
      </c>
      <c r="D10" s="32">
        <f>TOTAL_PLANTED_BEDS</f>
        <v>60</v>
      </c>
      <c r="E10" s="33" t="str">
        <f>IF(D10&lt;=64, "PASS", "FAIL")</f>
        <v>PASS</v>
      </c>
      <c r="F10" s="2" t="s">
        <v>169</v>
      </c>
    </row>
    <row r="11" spans="1:7" ht="14.4" x14ac:dyDescent="0.2">
      <c r="A11" s="36">
        <v>6</v>
      </c>
      <c r="B11" s="5" t="s">
        <v>170</v>
      </c>
      <c r="C11" s="50" t="s">
        <v>171</v>
      </c>
      <c r="D11" s="53">
        <f>TOTAL_LABOR_HRS</f>
        <v>5276.8228463282185</v>
      </c>
      <c r="E11" s="52" t="str">
        <f>IF(D11&lt;=TOTAL_LABOR_CAP, "PASS", "FAIL")</f>
        <v>PASS</v>
      </c>
      <c r="F11" s="5" t="s">
        <v>172</v>
      </c>
    </row>
    <row r="12" spans="1:7" ht="14.4" x14ac:dyDescent="0.2">
      <c r="A12" s="17">
        <v>7</v>
      </c>
      <c r="B12" s="2" t="s">
        <v>173</v>
      </c>
      <c r="C12" s="48" t="s">
        <v>174</v>
      </c>
      <c r="D12" s="47">
        <f>TOTAL_REVENUE</f>
        <v>210880</v>
      </c>
      <c r="E12" s="33" t="str">
        <f>IF(D12=210880, "PASS", "FAIL")</f>
        <v>PASS</v>
      </c>
      <c r="F12" s="2" t="s">
        <v>175</v>
      </c>
    </row>
    <row r="13" spans="1:7" ht="14.4" x14ac:dyDescent="0.2">
      <c r="A13" s="36">
        <v>8</v>
      </c>
      <c r="B13" s="5" t="s">
        <v>176</v>
      </c>
      <c r="C13" s="50" t="s">
        <v>177</v>
      </c>
      <c r="D13" s="42">
        <f>TOTAL_FERTILIZER</f>
        <v>44000</v>
      </c>
      <c r="E13" s="52" t="str">
        <f>IF(D13=44000, "PASS", "FAIL")</f>
        <v>PASS</v>
      </c>
      <c r="F13" s="5" t="s">
        <v>175</v>
      </c>
    </row>
    <row r="14" spans="1:7" ht="14.4" x14ac:dyDescent="0.2">
      <c r="A14" s="17">
        <v>9</v>
      </c>
      <c r="B14" s="2" t="s">
        <v>106</v>
      </c>
      <c r="C14" s="48" t="s">
        <v>178</v>
      </c>
      <c r="D14" s="47">
        <f>TOTAL_LABOR_COST</f>
        <v>104104.84461225786</v>
      </c>
      <c r="E14" s="33" t="str">
        <f>IF(ABS(D14-104118)&lt;=100, "PASS", "FAIL")</f>
        <v>PASS</v>
      </c>
      <c r="F14" s="2" t="s">
        <v>179</v>
      </c>
    </row>
    <row r="15" spans="1:7" ht="14.4" x14ac:dyDescent="0.2">
      <c r="A15" s="36">
        <v>10</v>
      </c>
      <c r="B15" s="5" t="s">
        <v>180</v>
      </c>
      <c r="C15" s="50" t="s">
        <v>181</v>
      </c>
      <c r="D15" s="42">
        <f>SEASON_PROFIT</f>
        <v>42775.155387742139</v>
      </c>
      <c r="E15" s="52" t="str">
        <f>IF(ABS(D15-42775)&lt;=20, "PASS", "FAIL")</f>
        <v>PASS</v>
      </c>
      <c r="F15" s="5" t="s">
        <v>182</v>
      </c>
    </row>
    <row r="16" spans="1:7" x14ac:dyDescent="0.2">
      <c r="A16">
        <v>11</v>
      </c>
      <c r="B16" t="s">
        <v>183</v>
      </c>
      <c r="C16" t="s">
        <v>184</v>
      </c>
      <c r="D16">
        <f>20*TOM_BASE_HRS*WEEKS*(1+TOM_DIM_PCT)^20 + 20*CAR_BASE_HRS*WEEKS*(1+CAR_DIM_PCT)^20 + 24*MES_BASE_HRS*WEEKS*(1+MES_DIM_PCT)^24</f>
        <v>14547.415639462164</v>
      </c>
      <c r="E16" t="str">
        <f>IF(D16&gt;TOTAL_LABOR_CAP, "PASS", "FAIL")</f>
        <v>PASS</v>
      </c>
      <c r="F16" t="s">
        <v>185</v>
      </c>
    </row>
    <row r="17" spans="1:6" x14ac:dyDescent="0.2">
      <c r="A17">
        <v>12</v>
      </c>
      <c r="B17" t="s">
        <v>186</v>
      </c>
      <c r="C17" t="s">
        <v>187</v>
      </c>
      <c r="D17" t="str">
        <f>IF(AND(BEDS_TOMATO=10, BEDS_CARROT=20, BEDS_MESCLUN=30), "10/20/30", "Pending Solver")</f>
        <v>10/20/30</v>
      </c>
      <c r="E17" t="str">
        <f>IF(D17="10/20/30", "PASS", "FAIL")</f>
        <v>PASS</v>
      </c>
      <c r="F17" t="s">
        <v>188</v>
      </c>
    </row>
  </sheetData>
  <mergeCells count="3">
    <mergeCell ref="A2:G2"/>
    <mergeCell ref="A1:G1"/>
    <mergeCell ref="A4:G4"/>
  </mergeCells>
  <phoneticPr fontId="7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41</vt:i4>
      </vt:variant>
    </vt:vector>
  </HeadingPairs>
  <TitlesOfParts>
    <vt:vector size="45" baseType="lpstr">
      <vt:lpstr>Summary &amp; PNL</vt:lpstr>
      <vt:lpstr>Marginal Cost Schedules</vt:lpstr>
      <vt:lpstr>Sheet1</vt:lpstr>
      <vt:lpstr>Checks &amp; Audit</vt:lpstr>
      <vt:lpstr>BEDS_CARROT</vt:lpstr>
      <vt:lpstr>BEDS_MESCLUN</vt:lpstr>
      <vt:lpstr>BEDS_TOMATO</vt:lpstr>
      <vt:lpstr>BLENDED_LABOR_RATE</vt:lpstr>
      <vt:lpstr>CAR_BASE_HRS</vt:lpstr>
      <vt:lpstr>CAR_DIM_PCT</vt:lpstr>
      <vt:lpstr>CAR_FERT</vt:lpstr>
      <vt:lpstr>CAR_MAX_BEDS</vt:lpstr>
      <vt:lpstr>CAR_PRICE</vt:lpstr>
      <vt:lpstr>FARM_MAX_BEDS</vt:lpstr>
      <vt:lpstr>FIXED_OVERHEAD</vt:lpstr>
      <vt:lpstr>FIXED_OVERHEAD_EXP</vt:lpstr>
      <vt:lpstr>LABOR_HRS_CARROT</vt:lpstr>
      <vt:lpstr>LABOR_HRS_MESCLUN</vt:lpstr>
      <vt:lpstr>LABOR_HRS_TOMATO</vt:lpstr>
      <vt:lpstr>MES_BASE_HRS</vt:lpstr>
      <vt:lpstr>MES_DIM_PCT</vt:lpstr>
      <vt:lpstr>MES_FERT</vt:lpstr>
      <vt:lpstr>MES_MAX_BEDS</vt:lpstr>
      <vt:lpstr>MES_PRICE</vt:lpstr>
      <vt:lpstr>OWNER_HRS_CAP</vt:lpstr>
      <vt:lpstr>OWNER_HRS_USED</vt:lpstr>
      <vt:lpstr>OWNER_LABOR_COST</vt:lpstr>
      <vt:lpstr>OWNER_RATE</vt:lpstr>
      <vt:lpstr>SEASON_PROFIT</vt:lpstr>
      <vt:lpstr>TEMP_HRS_CAP</vt:lpstr>
      <vt:lpstr>TEMP_HRS_USED</vt:lpstr>
      <vt:lpstr>TEMP_LABOR_COST</vt:lpstr>
      <vt:lpstr>TEMP_RATE</vt:lpstr>
      <vt:lpstr>TOM_BASE_HRS</vt:lpstr>
      <vt:lpstr>TOM_DIM_PCT</vt:lpstr>
      <vt:lpstr>TOM_FERT</vt:lpstr>
      <vt:lpstr>TOM_MAX_BEDS</vt:lpstr>
      <vt:lpstr>TOM_PRICE</vt:lpstr>
      <vt:lpstr>TOTAL_FERTILIZER</vt:lpstr>
      <vt:lpstr>TOTAL_LABOR_CAP</vt:lpstr>
      <vt:lpstr>TOTAL_LABOR_COST</vt:lpstr>
      <vt:lpstr>TOTAL_LABOR_HRS</vt:lpstr>
      <vt:lpstr>TOTAL_PLANTED_BEDS</vt:lpstr>
      <vt:lpstr>TOTAL_REVENUE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剛史 山本</cp:lastModifiedBy>
  <dcterms:created xsi:type="dcterms:W3CDTF">2026-10-14T08:20:22Z</dcterms:created>
  <dcterms:modified xsi:type="dcterms:W3CDTF">2026-10-26T13:06:10Z</dcterms:modified>
</cp:coreProperties>
</file>